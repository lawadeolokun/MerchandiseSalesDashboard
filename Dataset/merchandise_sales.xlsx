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wadeolokun/Desktop/Merchandise Sales Dashboard/Dataset/"/>
    </mc:Choice>
  </mc:AlternateContent>
  <xr:revisionPtr revIDLastSave="0" documentId="13_ncr:1_{E3533EE6-9559-FD4B-AF0B-4D2806F31160}" xr6:coauthVersionLast="47" xr6:coauthVersionMax="47" xr10:uidLastSave="{00000000-0000-0000-0000-000000000000}"/>
  <bookViews>
    <workbookView xWindow="0" yWindow="0" windowWidth="28800" windowHeight="18000" xr2:uid="{6324DE76-D86C-C642-9D4C-6CA6B1DA647A}"/>
  </bookViews>
  <sheets>
    <sheet name="Sales" sheetId="1" r:id="rId1"/>
    <sheet name="Products" sheetId="2" r:id="rId2"/>
    <sheet name="Regio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" i="1" l="1" a="1"/>
  <c r="C6" i="1" s="1"/>
  <c r="C7" i="1" a="1"/>
  <c r="C7" i="1"/>
  <c r="C8" i="1" a="1"/>
  <c r="C8" i="1"/>
  <c r="C9" i="1" a="1"/>
  <c r="C9" i="1" s="1"/>
  <c r="C10" i="1" a="1"/>
  <c r="C10" i="1" s="1"/>
  <c r="C11" i="1" a="1"/>
  <c r="C11" i="1" s="1"/>
  <c r="G11" i="1" s="1"/>
  <c r="C12" i="1" a="1"/>
  <c r="C12" i="1" s="1"/>
  <c r="C13" i="1" a="1"/>
  <c r="C13" i="1" s="1"/>
  <c r="C14" i="1" a="1"/>
  <c r="C14" i="1" s="1"/>
  <c r="C15" i="1" a="1"/>
  <c r="C15" i="1"/>
  <c r="C16" i="1" a="1"/>
  <c r="C16" i="1" s="1"/>
  <c r="C17" i="1" a="1"/>
  <c r="C17" i="1" s="1"/>
  <c r="C18" i="1" a="1"/>
  <c r="C18" i="1" s="1"/>
  <c r="C19" i="1" a="1"/>
  <c r="C19" i="1" s="1"/>
  <c r="C20" i="1" a="1"/>
  <c r="C20" i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/>
  <c r="C32" i="1" a="1"/>
  <c r="C32" i="1" s="1"/>
  <c r="D32" i="1" s="1"/>
  <c r="C33" i="1" a="1"/>
  <c r="C33" i="1" s="1"/>
  <c r="C34" i="1" a="1"/>
  <c r="C34" i="1" s="1"/>
  <c r="C35" i="1" a="1"/>
  <c r="C35" i="1" s="1"/>
  <c r="C36" i="1" a="1"/>
  <c r="C36" i="1"/>
  <c r="C37" i="1" a="1"/>
  <c r="C37" i="1" s="1"/>
  <c r="C38" i="1" a="1"/>
  <c r="C38" i="1" s="1"/>
  <c r="C39" i="1" a="1"/>
  <c r="C39" i="1" s="1"/>
  <c r="G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/>
  <c r="C48" i="1" a="1"/>
  <c r="C48" i="1" s="1"/>
  <c r="C49" i="1" a="1"/>
  <c r="C49" i="1" s="1"/>
  <c r="C50" i="1" a="1"/>
  <c r="C50" i="1" s="1"/>
  <c r="C51" i="1" a="1"/>
  <c r="C51" i="1" s="1"/>
  <c r="C52" i="1" a="1"/>
  <c r="C52" i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/>
  <c r="C64" i="1" a="1"/>
  <c r="C64" i="1" s="1"/>
  <c r="C65" i="1" a="1"/>
  <c r="C65" i="1" s="1"/>
  <c r="C66" i="1" a="1"/>
  <c r="C66" i="1" s="1"/>
  <c r="C67" i="1" a="1"/>
  <c r="C67" i="1" s="1"/>
  <c r="C68" i="1" a="1"/>
  <c r="C68" i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G75" i="1" s="1"/>
  <c r="C76" i="1" a="1"/>
  <c r="C76" i="1" s="1"/>
  <c r="C77" i="1" a="1"/>
  <c r="C77" i="1" s="1"/>
  <c r="C78" i="1" a="1"/>
  <c r="C78" i="1" s="1"/>
  <c r="C79" i="1" a="1"/>
  <c r="C79" i="1"/>
  <c r="C80" i="1" a="1"/>
  <c r="C80" i="1" s="1"/>
  <c r="C81" i="1" a="1"/>
  <c r="C81" i="1" s="1"/>
  <c r="C82" i="1" a="1"/>
  <c r="C82" i="1" s="1"/>
  <c r="C83" i="1" a="1"/>
  <c r="C83" i="1" s="1"/>
  <c r="C84" i="1" a="1"/>
  <c r="C84" i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D96" i="1" s="1"/>
  <c r="C97" i="1" a="1"/>
  <c r="C97" i="1" s="1"/>
  <c r="C98" i="1" a="1"/>
  <c r="C98" i="1" s="1"/>
  <c r="C99" i="1" a="1"/>
  <c r="C99" i="1" s="1"/>
  <c r="C100" i="1" a="1"/>
  <c r="C100" i="1"/>
  <c r="C101" i="1" a="1"/>
  <c r="C101" i="1" s="1"/>
  <c r="C102" i="1" a="1"/>
  <c r="C102" i="1" s="1"/>
  <c r="C103" i="1" a="1"/>
  <c r="C103" i="1" s="1"/>
  <c r="G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G111" i="1" s="1"/>
  <c r="C112" i="1" a="1"/>
  <c r="C112" i="1"/>
  <c r="C113" i="1" a="1"/>
  <c r="C113" i="1"/>
  <c r="C114" i="1" a="1"/>
  <c r="C114" i="1" s="1"/>
  <c r="C115" i="1" a="1"/>
  <c r="C115" i="1"/>
  <c r="C116" i="1" a="1"/>
  <c r="C116" i="1" s="1"/>
  <c r="C117" i="1" a="1"/>
  <c r="C117" i="1" s="1"/>
  <c r="C118" i="1" a="1"/>
  <c r="C118" i="1" s="1"/>
  <c r="C119" i="1" a="1"/>
  <c r="C119" i="1"/>
  <c r="C120" i="1" a="1"/>
  <c r="C120" i="1"/>
  <c r="C121" i="1" a="1"/>
  <c r="C121" i="1"/>
  <c r="C122" i="1" a="1"/>
  <c r="C122" i="1" s="1"/>
  <c r="C123" i="1" a="1"/>
  <c r="C123" i="1" s="1"/>
  <c r="C124" i="1" a="1"/>
  <c r="C124" i="1"/>
  <c r="C125" i="1" a="1"/>
  <c r="C125" i="1" s="1"/>
  <c r="C126" i="1" a="1"/>
  <c r="C126" i="1" s="1"/>
  <c r="C127" i="1" a="1"/>
  <c r="C127" i="1"/>
  <c r="C128" i="1" a="1"/>
  <c r="C128" i="1"/>
  <c r="C129" i="1" a="1"/>
  <c r="C129" i="1"/>
  <c r="C130" i="1" a="1"/>
  <c r="C130" i="1" s="1"/>
  <c r="C131" i="1" a="1"/>
  <c r="C131" i="1" s="1"/>
  <c r="C132" i="1" a="1"/>
  <c r="C132" i="1" s="1"/>
  <c r="C133" i="1" a="1"/>
  <c r="C133" i="1"/>
  <c r="C134" i="1" a="1"/>
  <c r="C134" i="1" s="1"/>
  <c r="C135" i="1" a="1"/>
  <c r="C135" i="1"/>
  <c r="C136" i="1" a="1"/>
  <c r="C136" i="1"/>
  <c r="C137" i="1" a="1"/>
  <c r="C137" i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/>
  <c r="C144" i="1" a="1"/>
  <c r="C144" i="1"/>
  <c r="C145" i="1" a="1"/>
  <c r="C145" i="1"/>
  <c r="C146" i="1" a="1"/>
  <c r="C146" i="1" s="1"/>
  <c r="C147" i="1" a="1"/>
  <c r="C147" i="1"/>
  <c r="C148" i="1" a="1"/>
  <c r="C148" i="1" s="1"/>
  <c r="C149" i="1" a="1"/>
  <c r="C149" i="1" s="1"/>
  <c r="C150" i="1" a="1"/>
  <c r="C150" i="1" s="1"/>
  <c r="C151" i="1" a="1"/>
  <c r="C151" i="1"/>
  <c r="C152" i="1" a="1"/>
  <c r="C152" i="1"/>
  <c r="C153" i="1" a="1"/>
  <c r="C153" i="1"/>
  <c r="C154" i="1" a="1"/>
  <c r="C154" i="1" s="1"/>
  <c r="C155" i="1" a="1"/>
  <c r="C155" i="1" s="1"/>
  <c r="C156" i="1" a="1"/>
  <c r="C156" i="1"/>
  <c r="C157" i="1" a="1"/>
  <c r="C157" i="1" s="1"/>
  <c r="C158" i="1" a="1"/>
  <c r="C158" i="1" s="1"/>
  <c r="C159" i="1" a="1"/>
  <c r="C159" i="1"/>
  <c r="C160" i="1" a="1"/>
  <c r="C160" i="1"/>
  <c r="C161" i="1" a="1"/>
  <c r="C161" i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/>
  <c r="C168" i="1" a="1"/>
  <c r="C168" i="1"/>
  <c r="C169" i="1" a="1"/>
  <c r="C169" i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/>
  <c r="C176" i="1" a="1"/>
  <c r="C176" i="1"/>
  <c r="C177" i="1" a="1"/>
  <c r="C177" i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/>
  <c r="C184" i="1" a="1"/>
  <c r="C184" i="1"/>
  <c r="C185" i="1" a="1"/>
  <c r="C185" i="1"/>
  <c r="C186" i="1" a="1"/>
  <c r="C186" i="1" s="1"/>
  <c r="C187" i="1" a="1"/>
  <c r="C187" i="1" s="1"/>
  <c r="C188" i="1" a="1"/>
  <c r="C188" i="1"/>
  <c r="C189" i="1" a="1"/>
  <c r="C189" i="1" s="1"/>
  <c r="C190" i="1" a="1"/>
  <c r="C190" i="1" s="1"/>
  <c r="C191" i="1" a="1"/>
  <c r="C191" i="1"/>
  <c r="C192" i="1" a="1"/>
  <c r="C192" i="1"/>
  <c r="C193" i="1" a="1"/>
  <c r="C193" i="1"/>
  <c r="C194" i="1" a="1"/>
  <c r="C194" i="1" s="1"/>
  <c r="C195" i="1" a="1"/>
  <c r="C195" i="1" s="1"/>
  <c r="C196" i="1" a="1"/>
  <c r="C196" i="1" s="1"/>
  <c r="C197" i="1" a="1"/>
  <c r="C197" i="1"/>
  <c r="C198" i="1" a="1"/>
  <c r="C198" i="1" s="1"/>
  <c r="C199" i="1" a="1"/>
  <c r="C199" i="1"/>
  <c r="C200" i="1" a="1"/>
  <c r="C200" i="1"/>
  <c r="C201" i="1" a="1"/>
  <c r="C201" i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/>
  <c r="C209" i="1" a="1"/>
  <c r="C209" i="1"/>
  <c r="C210" i="1" a="1"/>
  <c r="C210" i="1" s="1"/>
  <c r="C211" i="1" a="1"/>
  <c r="C211" i="1"/>
  <c r="C212" i="1" a="1"/>
  <c r="C212" i="1" s="1"/>
  <c r="C213" i="1" a="1"/>
  <c r="C213" i="1" s="1"/>
  <c r="C214" i="1" a="1"/>
  <c r="C214" i="1" s="1"/>
  <c r="D214" i="1" s="1"/>
  <c r="C215" i="1" a="1"/>
  <c r="C215" i="1"/>
  <c r="C216" i="1" a="1"/>
  <c r="C216" i="1"/>
  <c r="C217" i="1" a="1"/>
  <c r="C217" i="1"/>
  <c r="C218" i="1" a="1"/>
  <c r="C218" i="1" s="1"/>
  <c r="C219" i="1" a="1"/>
  <c r="C219" i="1" s="1"/>
  <c r="G219" i="1" s="1"/>
  <c r="C220" i="1" a="1"/>
  <c r="C220" i="1"/>
  <c r="C221" i="1" a="1"/>
  <c r="C221" i="1" s="1"/>
  <c r="C222" i="1" a="1"/>
  <c r="C222" i="1" s="1"/>
  <c r="C223" i="1" a="1"/>
  <c r="C223" i="1"/>
  <c r="C224" i="1" a="1"/>
  <c r="C224" i="1"/>
  <c r="D224" i="1" s="1"/>
  <c r="C225" i="1" a="1"/>
  <c r="C225" i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/>
  <c r="C232" i="1" a="1"/>
  <c r="C232" i="1"/>
  <c r="C233" i="1" a="1"/>
  <c r="C233" i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/>
  <c r="C240" i="1" a="1"/>
  <c r="C240" i="1"/>
  <c r="C241" i="1" a="1"/>
  <c r="C241" i="1"/>
  <c r="C242" i="1" a="1"/>
  <c r="C242" i="1" s="1"/>
  <c r="C243" i="1" a="1"/>
  <c r="C243" i="1"/>
  <c r="C244" i="1" a="1"/>
  <c r="C244" i="1" s="1"/>
  <c r="C245" i="1" a="1"/>
  <c r="C245" i="1" s="1"/>
  <c r="C246" i="1" a="1"/>
  <c r="C246" i="1" s="1"/>
  <c r="C247" i="1" a="1"/>
  <c r="C247" i="1"/>
  <c r="C248" i="1" a="1"/>
  <c r="C248" i="1"/>
  <c r="C249" i="1" a="1"/>
  <c r="C249" i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/>
  <c r="C256" i="1" a="1"/>
  <c r="C256" i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/>
  <c r="C264" i="1" a="1"/>
  <c r="C264" i="1"/>
  <c r="C265" i="1" a="1"/>
  <c r="C265" i="1"/>
  <c r="C266" i="1" a="1"/>
  <c r="C266" i="1" s="1"/>
  <c r="C267" i="1" a="1"/>
  <c r="C267" i="1" s="1"/>
  <c r="C268" i="1" a="1"/>
  <c r="C268" i="1" s="1"/>
  <c r="D268" i="1" s="1"/>
  <c r="C269" i="1" a="1"/>
  <c r="C269" i="1" s="1"/>
  <c r="C270" i="1" a="1"/>
  <c r="C270" i="1" s="1"/>
  <c r="C271" i="1" a="1"/>
  <c r="C271" i="1"/>
  <c r="C272" i="1" a="1"/>
  <c r="C272" i="1"/>
  <c r="C273" i="1" a="1"/>
  <c r="C273" i="1"/>
  <c r="C274" i="1" a="1"/>
  <c r="C274" i="1" s="1"/>
  <c r="C275" i="1" a="1"/>
  <c r="C275" i="1"/>
  <c r="C276" i="1" a="1"/>
  <c r="C276" i="1" s="1"/>
  <c r="C277" i="1" a="1"/>
  <c r="C277" i="1" s="1"/>
  <c r="C278" i="1" a="1"/>
  <c r="C278" i="1" s="1"/>
  <c r="C279" i="1" a="1"/>
  <c r="C279" i="1"/>
  <c r="G279" i="1" s="1"/>
  <c r="C280" i="1" a="1"/>
  <c r="C280" i="1"/>
  <c r="C281" i="1" a="1"/>
  <c r="C281" i="1"/>
  <c r="C282" i="1" a="1"/>
  <c r="C282" i="1" s="1"/>
  <c r="C283" i="1" a="1"/>
  <c r="C283" i="1" s="1"/>
  <c r="C284" i="1" a="1"/>
  <c r="C284" i="1"/>
  <c r="D284" i="1" s="1"/>
  <c r="C285" i="1" a="1"/>
  <c r="C285" i="1" s="1"/>
  <c r="C286" i="1" a="1"/>
  <c r="C286" i="1" s="1"/>
  <c r="C287" i="1" a="1"/>
  <c r="C287" i="1"/>
  <c r="C288" i="1" a="1"/>
  <c r="C288" i="1"/>
  <c r="C289" i="1" a="1"/>
  <c r="C289" i="1"/>
  <c r="C290" i="1" a="1"/>
  <c r="C290" i="1" s="1"/>
  <c r="C291" i="1" a="1"/>
  <c r="C291" i="1" s="1"/>
  <c r="C292" i="1" a="1"/>
  <c r="C292" i="1" s="1"/>
  <c r="C293" i="1" a="1"/>
  <c r="C293" i="1"/>
  <c r="C294" i="1" a="1"/>
  <c r="C294" i="1" s="1"/>
  <c r="C295" i="1" a="1"/>
  <c r="C295" i="1"/>
  <c r="C296" i="1" a="1"/>
  <c r="C296" i="1"/>
  <c r="C297" i="1" a="1"/>
  <c r="C297" i="1"/>
  <c r="C298" i="1" a="1"/>
  <c r="C298" i="1" s="1"/>
  <c r="C299" i="1" a="1"/>
  <c r="C299" i="1" s="1"/>
  <c r="C300" i="1" a="1"/>
  <c r="C300" i="1" s="1"/>
  <c r="C301" i="1" a="1"/>
  <c r="C301" i="1" s="1"/>
  <c r="G301" i="1" s="1"/>
  <c r="C302" i="1" a="1"/>
  <c r="C302" i="1" s="1"/>
  <c r="C303" i="1" a="1"/>
  <c r="C303" i="1"/>
  <c r="C304" i="1" a="1"/>
  <c r="C304" i="1"/>
  <c r="C305" i="1" a="1"/>
  <c r="C305" i="1"/>
  <c r="C306" i="1" a="1"/>
  <c r="C306" i="1" s="1"/>
  <c r="C307" i="1" a="1"/>
  <c r="C307" i="1"/>
  <c r="C308" i="1" a="1"/>
  <c r="C308" i="1" s="1"/>
  <c r="C309" i="1" a="1"/>
  <c r="C309" i="1" s="1"/>
  <c r="C310" i="1" a="1"/>
  <c r="C310" i="1" s="1"/>
  <c r="C311" i="1" a="1"/>
  <c r="C311" i="1"/>
  <c r="C312" i="1" a="1"/>
  <c r="C312" i="1" s="1"/>
  <c r="D312" i="1" s="1"/>
  <c r="C313" i="1" a="1"/>
  <c r="C313" i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/>
  <c r="C320" i="1" a="1"/>
  <c r="C320" i="1"/>
  <c r="C321" i="1" a="1"/>
  <c r="C321" i="1" s="1"/>
  <c r="D321" i="1" s="1"/>
  <c r="C322" i="1" a="1"/>
  <c r="C322" i="1" s="1"/>
  <c r="C323" i="1" a="1"/>
  <c r="C323" i="1" s="1"/>
  <c r="C324" i="1" a="1"/>
  <c r="C324" i="1" s="1"/>
  <c r="C325" i="1" a="1"/>
  <c r="C325" i="1"/>
  <c r="C326" i="1" a="1"/>
  <c r="C326" i="1" s="1"/>
  <c r="C327" i="1" a="1"/>
  <c r="C327" i="1"/>
  <c r="C328" i="1" a="1"/>
  <c r="C328" i="1"/>
  <c r="C329" i="1" a="1"/>
  <c r="C329" i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/>
  <c r="C336" i="1" a="1"/>
  <c r="C336" i="1"/>
  <c r="C337" i="1" a="1"/>
  <c r="C337" i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/>
  <c r="C344" i="1" a="1"/>
  <c r="C344" i="1"/>
  <c r="C345" i="1" a="1"/>
  <c r="C345" i="1"/>
  <c r="C346" i="1" a="1"/>
  <c r="C346" i="1"/>
  <c r="C347" i="1" a="1"/>
  <c r="C347" i="1"/>
  <c r="C348" i="1" a="1"/>
  <c r="C348" i="1"/>
  <c r="D348" i="1" s="1"/>
  <c r="C349" i="1" a="1"/>
  <c r="C349" i="1"/>
  <c r="C350" i="1" a="1"/>
  <c r="C350" i="1"/>
  <c r="C351" i="1" a="1"/>
  <c r="C351" i="1"/>
  <c r="C352" i="1" a="1"/>
  <c r="C352" i="1"/>
  <c r="C353" i="1" a="1"/>
  <c r="C353" i="1"/>
  <c r="C354" i="1" a="1"/>
  <c r="C354" i="1"/>
  <c r="C355" i="1" a="1"/>
  <c r="C355" i="1"/>
  <c r="C356" i="1" a="1"/>
  <c r="C356" i="1"/>
  <c r="D356" i="1" s="1"/>
  <c r="C357" i="1" a="1"/>
  <c r="C357" i="1"/>
  <c r="C358" i="1" a="1"/>
  <c r="C358" i="1"/>
  <c r="C359" i="1" a="1"/>
  <c r="C359" i="1"/>
  <c r="C360" i="1" a="1"/>
  <c r="C360" i="1"/>
  <c r="C361" i="1" a="1"/>
  <c r="C361" i="1"/>
  <c r="C362" i="1" a="1"/>
  <c r="C362" i="1"/>
  <c r="C363" i="1" a="1"/>
  <c r="C363" i="1"/>
  <c r="C364" i="1" a="1"/>
  <c r="C364" i="1"/>
  <c r="D364" i="1" s="1"/>
  <c r="C365" i="1" a="1"/>
  <c r="C365" i="1"/>
  <c r="C366" i="1" a="1"/>
  <c r="C366" i="1"/>
  <c r="C367" i="1" a="1"/>
  <c r="C367" i="1"/>
  <c r="C368" i="1" a="1"/>
  <c r="C368" i="1"/>
  <c r="C369" i="1" a="1"/>
  <c r="C369" i="1"/>
  <c r="C370" i="1" a="1"/>
  <c r="C370" i="1"/>
  <c r="C371" i="1" a="1"/>
  <c r="C371" i="1"/>
  <c r="C372" i="1" a="1"/>
  <c r="C372" i="1"/>
  <c r="D372" i="1" s="1"/>
  <c r="C373" i="1" a="1"/>
  <c r="C373" i="1"/>
  <c r="C374" i="1" a="1"/>
  <c r="C374" i="1"/>
  <c r="C375" i="1" a="1"/>
  <c r="C375" i="1"/>
  <c r="C376" i="1" a="1"/>
  <c r="C376" i="1"/>
  <c r="C377" i="1" a="1"/>
  <c r="C377" i="1"/>
  <c r="C378" i="1" a="1"/>
  <c r="C378" i="1"/>
  <c r="C379" i="1" a="1"/>
  <c r="C379" i="1"/>
  <c r="C380" i="1" a="1"/>
  <c r="C380" i="1"/>
  <c r="D380" i="1" s="1"/>
  <c r="C381" i="1" a="1"/>
  <c r="C381" i="1"/>
  <c r="C382" i="1" a="1"/>
  <c r="C382" i="1"/>
  <c r="C383" i="1" a="1"/>
  <c r="C383" i="1"/>
  <c r="C384" i="1" a="1"/>
  <c r="C384" i="1"/>
  <c r="C385" i="1" a="1"/>
  <c r="C385" i="1" s="1"/>
  <c r="C386" i="1" a="1"/>
  <c r="C386" i="1"/>
  <c r="C387" i="1" a="1"/>
  <c r="C387" i="1"/>
  <c r="C388" i="1" a="1"/>
  <c r="C388" i="1"/>
  <c r="C389" i="1" a="1"/>
  <c r="C389" i="1" s="1"/>
  <c r="G389" i="1" s="1"/>
  <c r="C390" i="1" a="1"/>
  <c r="C390" i="1"/>
  <c r="C391" i="1" a="1"/>
  <c r="C391" i="1"/>
  <c r="C392" i="1" a="1"/>
  <c r="C392" i="1" s="1"/>
  <c r="C393" i="1" a="1"/>
  <c r="C393" i="1" s="1"/>
  <c r="C394" i="1" a="1"/>
  <c r="C394" i="1"/>
  <c r="C395" i="1" a="1"/>
  <c r="C395" i="1"/>
  <c r="C396" i="1" a="1"/>
  <c r="C396" i="1"/>
  <c r="C397" i="1" a="1"/>
  <c r="C397" i="1" s="1"/>
  <c r="C398" i="1" a="1"/>
  <c r="C398" i="1"/>
  <c r="C399" i="1" a="1"/>
  <c r="C399" i="1"/>
  <c r="C400" i="1" a="1"/>
  <c r="C400" i="1"/>
  <c r="C401" i="1" a="1"/>
  <c r="C401" i="1" s="1"/>
  <c r="C402" i="1" a="1"/>
  <c r="C402" i="1"/>
  <c r="C403" i="1" a="1"/>
  <c r="C403" i="1"/>
  <c r="C404" i="1" a="1"/>
  <c r="C404" i="1"/>
  <c r="C405" i="1" a="1"/>
  <c r="C405" i="1" s="1"/>
  <c r="C406" i="1" a="1"/>
  <c r="C406" i="1"/>
  <c r="C407" i="1" a="1"/>
  <c r="C407" i="1"/>
  <c r="C408" i="1" a="1"/>
  <c r="C408" i="1"/>
  <c r="C409" i="1" a="1"/>
  <c r="C409" i="1" s="1"/>
  <c r="C410" i="1" a="1"/>
  <c r="C410" i="1"/>
  <c r="C411" i="1" a="1"/>
  <c r="C411" i="1"/>
  <c r="C412" i="1" a="1"/>
  <c r="C412" i="1" s="1"/>
  <c r="C413" i="1" a="1"/>
  <c r="C413" i="1" s="1"/>
  <c r="C414" i="1" a="1"/>
  <c r="C414" i="1"/>
  <c r="C415" i="1" a="1"/>
  <c r="C415" i="1" s="1"/>
  <c r="C416" i="1" a="1"/>
  <c r="C416" i="1"/>
  <c r="C417" i="1" a="1"/>
  <c r="C417" i="1" s="1"/>
  <c r="C418" i="1" a="1"/>
  <c r="C418" i="1"/>
  <c r="C419" i="1" a="1"/>
  <c r="C419" i="1"/>
  <c r="C420" i="1" a="1"/>
  <c r="C420" i="1"/>
  <c r="C421" i="1" a="1"/>
  <c r="C421" i="1" s="1"/>
  <c r="C422" i="1" a="1"/>
  <c r="C422" i="1"/>
  <c r="C423" i="1" a="1"/>
  <c r="C423" i="1"/>
  <c r="C424" i="1" a="1"/>
  <c r="C424" i="1" s="1"/>
  <c r="C425" i="1" a="1"/>
  <c r="C425" i="1" s="1"/>
  <c r="C426" i="1" a="1"/>
  <c r="C426" i="1"/>
  <c r="C427" i="1" a="1"/>
  <c r="C427" i="1"/>
  <c r="C428" i="1" a="1"/>
  <c r="C428" i="1"/>
  <c r="C429" i="1" a="1"/>
  <c r="C429" i="1" s="1"/>
  <c r="C430" i="1" a="1"/>
  <c r="C430" i="1"/>
  <c r="G430" i="1" s="1"/>
  <c r="C431" i="1" a="1"/>
  <c r="C431" i="1"/>
  <c r="C432" i="1" a="1"/>
  <c r="C432" i="1"/>
  <c r="C433" i="1" a="1"/>
  <c r="C433" i="1" s="1"/>
  <c r="C434" i="1" a="1"/>
  <c r="C434" i="1"/>
  <c r="C435" i="1" a="1"/>
  <c r="C435" i="1" s="1"/>
  <c r="G435" i="1" s="1"/>
  <c r="C436" i="1" a="1"/>
  <c r="C436" i="1"/>
  <c r="C437" i="1" a="1"/>
  <c r="C437" i="1" s="1"/>
  <c r="C438" i="1" a="1"/>
  <c r="C438" i="1"/>
  <c r="C439" i="1" a="1"/>
  <c r="C439" i="1"/>
  <c r="C440" i="1" a="1"/>
  <c r="C440" i="1"/>
  <c r="C441" i="1" a="1"/>
  <c r="C441" i="1" s="1"/>
  <c r="C442" i="1" a="1"/>
  <c r="C442" i="1"/>
  <c r="C443" i="1" a="1"/>
  <c r="C443" i="1"/>
  <c r="C444" i="1" a="1"/>
  <c r="C444" i="1" s="1"/>
  <c r="C445" i="1" a="1"/>
  <c r="C445" i="1" s="1"/>
  <c r="C446" i="1" a="1"/>
  <c r="C446" i="1"/>
  <c r="C447" i="1" a="1"/>
  <c r="C447" i="1" s="1"/>
  <c r="C448" i="1" a="1"/>
  <c r="C448" i="1"/>
  <c r="C449" i="1" a="1"/>
  <c r="C449" i="1" s="1"/>
  <c r="C450" i="1" a="1"/>
  <c r="C450" i="1"/>
  <c r="C451" i="1" a="1"/>
  <c r="C451" i="1"/>
  <c r="C452" i="1" a="1"/>
  <c r="C452" i="1"/>
  <c r="C453" i="1" a="1"/>
  <c r="C453" i="1" s="1"/>
  <c r="C454" i="1" a="1"/>
  <c r="C454" i="1"/>
  <c r="C455" i="1" a="1"/>
  <c r="C455" i="1"/>
  <c r="C456" i="1" a="1"/>
  <c r="C456" i="1" s="1"/>
  <c r="C457" i="1" a="1"/>
  <c r="C457" i="1" s="1"/>
  <c r="C458" i="1" a="1"/>
  <c r="C458" i="1"/>
  <c r="C459" i="1" a="1"/>
  <c r="C459" i="1"/>
  <c r="C460" i="1" a="1"/>
  <c r="C460" i="1"/>
  <c r="C461" i="1" a="1"/>
  <c r="C461" i="1" s="1"/>
  <c r="C462" i="1" a="1"/>
  <c r="C462" i="1"/>
  <c r="G462" i="1" s="1"/>
  <c r="C463" i="1" a="1"/>
  <c r="C463" i="1"/>
  <c r="C464" i="1" a="1"/>
  <c r="C464" i="1"/>
  <c r="C465" i="1" a="1"/>
  <c r="C465" i="1" s="1"/>
  <c r="C466" i="1" a="1"/>
  <c r="C466" i="1"/>
  <c r="C467" i="1" a="1"/>
  <c r="C467" i="1" s="1"/>
  <c r="G467" i="1" s="1"/>
  <c r="C468" i="1" a="1"/>
  <c r="C468" i="1"/>
  <c r="C469" i="1" a="1"/>
  <c r="C469" i="1" s="1"/>
  <c r="C470" i="1" a="1"/>
  <c r="C470" i="1"/>
  <c r="C471" i="1" a="1"/>
  <c r="C471" i="1"/>
  <c r="C472" i="1" a="1"/>
  <c r="C472" i="1"/>
  <c r="C473" i="1" a="1"/>
  <c r="C473" i="1" s="1"/>
  <c r="C474" i="1" a="1"/>
  <c r="C474" i="1"/>
  <c r="C475" i="1" a="1"/>
  <c r="C475" i="1"/>
  <c r="C476" i="1" a="1"/>
  <c r="C476" i="1" s="1"/>
  <c r="C477" i="1" a="1"/>
  <c r="C477" i="1" s="1"/>
  <c r="C478" i="1" a="1"/>
  <c r="C478" i="1"/>
  <c r="C479" i="1" a="1"/>
  <c r="C479" i="1" s="1"/>
  <c r="C480" i="1" a="1"/>
  <c r="C480" i="1"/>
  <c r="C481" i="1" a="1"/>
  <c r="C481" i="1" s="1"/>
  <c r="C482" i="1" a="1"/>
  <c r="C482" i="1"/>
  <c r="C483" i="1" a="1"/>
  <c r="C483" i="1"/>
  <c r="C484" i="1" a="1"/>
  <c r="C484" i="1"/>
  <c r="C485" i="1" a="1"/>
  <c r="C485" i="1" s="1"/>
  <c r="C486" i="1" a="1"/>
  <c r="C486" i="1"/>
  <c r="C487" i="1" a="1"/>
  <c r="C487" i="1"/>
  <c r="C488" i="1" a="1"/>
  <c r="C488" i="1" s="1"/>
  <c r="C489" i="1" a="1"/>
  <c r="C489" i="1" s="1"/>
  <c r="C490" i="1" a="1"/>
  <c r="C490" i="1"/>
  <c r="C491" i="1" a="1"/>
  <c r="C491" i="1"/>
  <c r="C492" i="1" a="1"/>
  <c r="C492" i="1"/>
  <c r="C493" i="1" a="1"/>
  <c r="C493" i="1" s="1"/>
  <c r="C494" i="1" a="1"/>
  <c r="C494" i="1"/>
  <c r="G494" i="1" s="1"/>
  <c r="C495" i="1" a="1"/>
  <c r="C495" i="1"/>
  <c r="C496" i="1" a="1"/>
  <c r="C496" i="1"/>
  <c r="C497" i="1" a="1"/>
  <c r="C497" i="1" s="1"/>
  <c r="C498" i="1" a="1"/>
  <c r="C498" i="1"/>
  <c r="C499" i="1" a="1"/>
  <c r="C499" i="1" s="1"/>
  <c r="C500" i="1" a="1"/>
  <c r="C500" i="1"/>
  <c r="C501" i="1" a="1"/>
  <c r="C501" i="1" s="1"/>
  <c r="C502" i="1" a="1"/>
  <c r="C502" i="1"/>
  <c r="C503" i="1" a="1"/>
  <c r="C503" i="1"/>
  <c r="C504" i="1" a="1"/>
  <c r="C504" i="1"/>
  <c r="C505" i="1" a="1"/>
  <c r="C505" i="1" s="1"/>
  <c r="C506" i="1" a="1"/>
  <c r="C506" i="1"/>
  <c r="C507" i="1" a="1"/>
  <c r="C507" i="1" s="1"/>
  <c r="C508" i="1" a="1"/>
  <c r="C508" i="1" s="1"/>
  <c r="C509" i="1" a="1"/>
  <c r="C509" i="1" s="1"/>
  <c r="C510" i="1" a="1"/>
  <c r="C510" i="1"/>
  <c r="C511" i="1" a="1"/>
  <c r="C511" i="1"/>
  <c r="C512" i="1" a="1"/>
  <c r="C512" i="1"/>
  <c r="C513" i="1" a="1"/>
  <c r="C513" i="1" s="1"/>
  <c r="C514" i="1" a="1"/>
  <c r="C514" i="1"/>
  <c r="C515" i="1" a="1"/>
  <c r="C515" i="1"/>
  <c r="C516" i="1" a="1"/>
  <c r="C516" i="1" s="1"/>
  <c r="C517" i="1" a="1"/>
  <c r="C517" i="1" s="1"/>
  <c r="D517" i="1" s="1"/>
  <c r="C518" i="1" a="1"/>
  <c r="C518" i="1"/>
  <c r="C519" i="1" a="1"/>
  <c r="C519" i="1"/>
  <c r="C520" i="1" a="1"/>
  <c r="C520" i="1"/>
  <c r="C521" i="1" a="1"/>
  <c r="C521" i="1" s="1"/>
  <c r="C522" i="1" a="1"/>
  <c r="C522" i="1" s="1"/>
  <c r="G522" i="1" s="1"/>
  <c r="C523" i="1" a="1"/>
  <c r="C523" i="1"/>
  <c r="C524" i="1" a="1"/>
  <c r="C524" i="1"/>
  <c r="C525" i="1" a="1"/>
  <c r="C525" i="1" s="1"/>
  <c r="C526" i="1" a="1"/>
  <c r="C526" i="1"/>
  <c r="C527" i="1" a="1"/>
  <c r="C527" i="1"/>
  <c r="C528" i="1" a="1"/>
  <c r="C528" i="1"/>
  <c r="C529" i="1" a="1"/>
  <c r="C529" i="1" s="1"/>
  <c r="C530" i="1" a="1"/>
  <c r="C530" i="1"/>
  <c r="C531" i="1" a="1"/>
  <c r="C531" i="1" s="1"/>
  <c r="C532" i="1" a="1"/>
  <c r="C532" i="1"/>
  <c r="C533" i="1" a="1"/>
  <c r="C533" i="1" s="1"/>
  <c r="C534" i="1" a="1"/>
  <c r="C534" i="1"/>
  <c r="G534" i="1" s="1"/>
  <c r="C535" i="1" a="1"/>
  <c r="C535" i="1"/>
  <c r="C536" i="1" a="1"/>
  <c r="C536" i="1"/>
  <c r="C537" i="1" a="1"/>
  <c r="C537" i="1" s="1"/>
  <c r="C538" i="1" a="1"/>
  <c r="C538" i="1"/>
  <c r="C539" i="1" a="1"/>
  <c r="C539" i="1" s="1"/>
  <c r="C540" i="1" a="1"/>
  <c r="C540" i="1" s="1"/>
  <c r="C541" i="1" a="1"/>
  <c r="C541" i="1" s="1"/>
  <c r="C542" i="1" a="1"/>
  <c r="C542" i="1"/>
  <c r="C543" i="1" a="1"/>
  <c r="C543" i="1"/>
  <c r="C544" i="1" a="1"/>
  <c r="C544" i="1" s="1"/>
  <c r="D544" i="1" s="1"/>
  <c r="C545" i="1" a="1"/>
  <c r="C545" i="1" s="1"/>
  <c r="C546" i="1" a="1"/>
  <c r="C546" i="1"/>
  <c r="C547" i="1" a="1"/>
  <c r="C547" i="1"/>
  <c r="C548" i="1" a="1"/>
  <c r="C548" i="1"/>
  <c r="C549" i="1" a="1"/>
  <c r="C549" i="1" s="1"/>
  <c r="C550" i="1" a="1"/>
  <c r="C550" i="1"/>
  <c r="C551" i="1" a="1"/>
  <c r="C551" i="1"/>
  <c r="C552" i="1" a="1"/>
  <c r="C552" i="1"/>
  <c r="C553" i="1" a="1"/>
  <c r="C553" i="1" s="1"/>
  <c r="C554" i="1" a="1"/>
  <c r="C554" i="1" s="1"/>
  <c r="C555" i="1" a="1"/>
  <c r="C555" i="1"/>
  <c r="C556" i="1" a="1"/>
  <c r="C556" i="1"/>
  <c r="C557" i="1" a="1"/>
  <c r="C557" i="1" s="1"/>
  <c r="C558" i="1" a="1"/>
  <c r="C558" i="1"/>
  <c r="G558" i="1" s="1"/>
  <c r="C559" i="1" a="1"/>
  <c r="C559" i="1"/>
  <c r="C560" i="1" a="1"/>
  <c r="C560" i="1"/>
  <c r="C561" i="1" a="1"/>
  <c r="C561" i="1" s="1"/>
  <c r="C562" i="1" a="1"/>
  <c r="C562" i="1" s="1"/>
  <c r="G562" i="1" s="1"/>
  <c r="C563" i="1" a="1"/>
  <c r="C563" i="1" s="1"/>
  <c r="C564" i="1" a="1"/>
  <c r="C564" i="1"/>
  <c r="C565" i="1" a="1"/>
  <c r="C565" i="1" s="1"/>
  <c r="C566" i="1" a="1"/>
  <c r="C566" i="1" s="1"/>
  <c r="G566" i="1" s="1"/>
  <c r="C567" i="1" a="1"/>
  <c r="C567" i="1" s="1"/>
  <c r="G567" i="1" s="1"/>
  <c r="C568" i="1" a="1"/>
  <c r="C568" i="1"/>
  <c r="C569" i="1" a="1"/>
  <c r="C569" i="1" s="1"/>
  <c r="C570" i="1" a="1"/>
  <c r="C570" i="1"/>
  <c r="G570" i="1" s="1"/>
  <c r="C571" i="1" a="1"/>
  <c r="C571" i="1"/>
  <c r="C572" i="1" a="1"/>
  <c r="C572" i="1" s="1"/>
  <c r="C573" i="1" a="1"/>
  <c r="C573" i="1" s="1"/>
  <c r="C574" i="1" a="1"/>
  <c r="C574" i="1"/>
  <c r="C575" i="1" a="1"/>
  <c r="C575" i="1"/>
  <c r="G575" i="1" s="1"/>
  <c r="C576" i="1" a="1"/>
  <c r="C576" i="1"/>
  <c r="C577" i="1" a="1"/>
  <c r="C577" i="1" s="1"/>
  <c r="C578" i="1" a="1"/>
  <c r="C578" i="1"/>
  <c r="C579" i="1" a="1"/>
  <c r="C579" i="1"/>
  <c r="C580" i="1" a="1"/>
  <c r="C580" i="1" s="1"/>
  <c r="C581" i="1" a="1"/>
  <c r="C581" i="1" s="1"/>
  <c r="C582" i="1" a="1"/>
  <c r="C582" i="1"/>
  <c r="C583" i="1" a="1"/>
  <c r="C583" i="1"/>
  <c r="C584" i="1" a="1"/>
  <c r="C584" i="1"/>
  <c r="D584" i="1" s="1"/>
  <c r="C585" i="1" a="1"/>
  <c r="C585" i="1" s="1"/>
  <c r="C586" i="1" a="1"/>
  <c r="C586" i="1" s="1"/>
  <c r="C587" i="1" a="1"/>
  <c r="C587" i="1"/>
  <c r="C588" i="1" a="1"/>
  <c r="C588" i="1"/>
  <c r="C589" i="1" a="1"/>
  <c r="C589" i="1" s="1"/>
  <c r="C590" i="1" a="1"/>
  <c r="C590" i="1" s="1"/>
  <c r="G590" i="1" s="1"/>
  <c r="C591" i="1" a="1"/>
  <c r="C591" i="1"/>
  <c r="C592" i="1" a="1"/>
  <c r="C592" i="1"/>
  <c r="C593" i="1" a="1"/>
  <c r="C593" i="1" s="1"/>
  <c r="C594" i="1" a="1"/>
  <c r="C594" i="1"/>
  <c r="G594" i="1" s="1"/>
  <c r="C595" i="1" a="1"/>
  <c r="C595" i="1" s="1"/>
  <c r="C596" i="1" a="1"/>
  <c r="C596" i="1"/>
  <c r="C597" i="1" a="1"/>
  <c r="C597" i="1" s="1"/>
  <c r="C598" i="1" a="1"/>
  <c r="C598" i="1"/>
  <c r="C599" i="1" a="1"/>
  <c r="C599" i="1"/>
  <c r="G599" i="1" s="1"/>
  <c r="C600" i="1" a="1"/>
  <c r="C600" i="1"/>
  <c r="C601" i="1" a="1"/>
  <c r="C601" i="1" s="1"/>
  <c r="C602" i="1" a="1"/>
  <c r="C602" i="1"/>
  <c r="C603" i="1" a="1"/>
  <c r="C603" i="1"/>
  <c r="C604" i="1" a="1"/>
  <c r="C604" i="1" s="1"/>
  <c r="C605" i="1" a="1"/>
  <c r="C605" i="1" s="1"/>
  <c r="C606" i="1" a="1"/>
  <c r="C606" i="1"/>
  <c r="C607" i="1" a="1"/>
  <c r="C607" i="1" s="1"/>
  <c r="G607" i="1" s="1"/>
  <c r="C608" i="1" a="1"/>
  <c r="C608" i="1"/>
  <c r="C609" i="1" a="1"/>
  <c r="C609" i="1" s="1"/>
  <c r="C610" i="1" a="1"/>
  <c r="C610" i="1"/>
  <c r="C611" i="1" a="1"/>
  <c r="C611" i="1"/>
  <c r="C612" i="1" a="1"/>
  <c r="C612" i="1"/>
  <c r="C613" i="1" a="1"/>
  <c r="C613" i="1" s="1"/>
  <c r="C614" i="1" a="1"/>
  <c r="C614" i="1"/>
  <c r="C615" i="1" a="1"/>
  <c r="C615" i="1"/>
  <c r="C616" i="1" a="1"/>
  <c r="C616" i="1" s="1"/>
  <c r="D616" i="1" s="1"/>
  <c r="C617" i="1" a="1"/>
  <c r="C617" i="1" s="1"/>
  <c r="C618" i="1" a="1"/>
  <c r="C618" i="1" s="1"/>
  <c r="C619" i="1" a="1"/>
  <c r="C619" i="1"/>
  <c r="C620" i="1" a="1"/>
  <c r="C620" i="1"/>
  <c r="C621" i="1" a="1"/>
  <c r="C621" i="1" s="1"/>
  <c r="C622" i="1" a="1"/>
  <c r="C622" i="1"/>
  <c r="C623" i="1" a="1"/>
  <c r="C623" i="1"/>
  <c r="C624" i="1" a="1"/>
  <c r="C624" i="1"/>
  <c r="C625" i="1" a="1"/>
  <c r="C625" i="1" s="1"/>
  <c r="C626" i="1" a="1"/>
  <c r="C626" i="1" s="1"/>
  <c r="G626" i="1" s="1"/>
  <c r="C627" i="1" a="1"/>
  <c r="C627" i="1" s="1"/>
  <c r="C628" i="1" a="1"/>
  <c r="C628" i="1"/>
  <c r="C629" i="1" a="1"/>
  <c r="C629" i="1" s="1"/>
  <c r="C630" i="1" a="1"/>
  <c r="C630" i="1" s="1"/>
  <c r="G630" i="1" s="1"/>
  <c r="C631" i="1" a="1"/>
  <c r="C631" i="1" s="1"/>
  <c r="G631" i="1" s="1"/>
  <c r="C632" i="1" a="1"/>
  <c r="C632" i="1"/>
  <c r="C633" i="1" a="1"/>
  <c r="C633" i="1" s="1"/>
  <c r="C634" i="1" a="1"/>
  <c r="C634" i="1"/>
  <c r="C635" i="1" a="1"/>
  <c r="C635" i="1"/>
  <c r="C636" i="1" a="1"/>
  <c r="C636" i="1" s="1"/>
  <c r="C637" i="1" a="1"/>
  <c r="C637" i="1" s="1"/>
  <c r="C638" i="1" a="1"/>
  <c r="C638" i="1"/>
  <c r="C639" i="1" a="1"/>
  <c r="C639" i="1" s="1"/>
  <c r="G639" i="1" s="1"/>
  <c r="C640" i="1" a="1"/>
  <c r="C640" i="1"/>
  <c r="D640" i="1" s="1"/>
  <c r="C641" i="1" a="1"/>
  <c r="C641" i="1" s="1"/>
  <c r="C642" i="1" a="1"/>
  <c r="C642" i="1"/>
  <c r="C643" i="1" a="1"/>
  <c r="C643" i="1"/>
  <c r="C644" i="1" a="1"/>
  <c r="C644" i="1" s="1"/>
  <c r="C645" i="1" a="1"/>
  <c r="C645" i="1" s="1"/>
  <c r="C646" i="1" a="1"/>
  <c r="C646" i="1"/>
  <c r="C647" i="1" a="1"/>
  <c r="C647" i="1"/>
  <c r="C648" i="1" a="1"/>
  <c r="C648" i="1" s="1"/>
  <c r="D648" i="1" s="1"/>
  <c r="C649" i="1" a="1"/>
  <c r="C649" i="1" s="1"/>
  <c r="C650" i="1" a="1"/>
  <c r="C650" i="1" s="1"/>
  <c r="G650" i="1" s="1"/>
  <c r="C651" i="1" a="1"/>
  <c r="C651" i="1"/>
  <c r="C652" i="1" a="1"/>
  <c r="C652" i="1"/>
  <c r="C653" i="1" a="1"/>
  <c r="C653" i="1" s="1"/>
  <c r="C654" i="1" a="1"/>
  <c r="C654" i="1" s="1"/>
  <c r="G654" i="1" s="1"/>
  <c r="C655" i="1" a="1"/>
  <c r="C655" i="1"/>
  <c r="C656" i="1" a="1"/>
  <c r="C656" i="1"/>
  <c r="C657" i="1" a="1"/>
  <c r="C657" i="1" s="1"/>
  <c r="G657" i="1" s="1"/>
  <c r="C658" i="1" a="1"/>
  <c r="C658" i="1" s="1"/>
  <c r="G658" i="1" s="1"/>
  <c r="C659" i="1" a="1"/>
  <c r="C659" i="1" s="1"/>
  <c r="C660" i="1" a="1"/>
  <c r="C660" i="1"/>
  <c r="C661" i="1" a="1"/>
  <c r="C661" i="1" s="1"/>
  <c r="C662" i="1" a="1"/>
  <c r="C662" i="1"/>
  <c r="G662" i="1" s="1"/>
  <c r="C663" i="1" a="1"/>
  <c r="C663" i="1" s="1"/>
  <c r="G663" i="1" s="1"/>
  <c r="C664" i="1" a="1"/>
  <c r="C664" i="1"/>
  <c r="C665" i="1" a="1"/>
  <c r="C665" i="1" s="1"/>
  <c r="C666" i="1" a="1"/>
  <c r="C666" i="1"/>
  <c r="C667" i="1" a="1"/>
  <c r="C667" i="1" s="1"/>
  <c r="C668" i="1" a="1"/>
  <c r="C668" i="1" s="1"/>
  <c r="C669" i="1" a="1"/>
  <c r="C669" i="1" s="1"/>
  <c r="C670" i="1" a="1"/>
  <c r="C670" i="1"/>
  <c r="C671" i="1" a="1"/>
  <c r="C671" i="1"/>
  <c r="C672" i="1" a="1"/>
  <c r="C672" i="1" s="1"/>
  <c r="D672" i="1" s="1"/>
  <c r="C673" i="1" a="1"/>
  <c r="C673" i="1" s="1"/>
  <c r="C674" i="1" a="1"/>
  <c r="C674" i="1"/>
  <c r="C675" i="1" a="1"/>
  <c r="C675" i="1"/>
  <c r="C676" i="1" a="1"/>
  <c r="C676" i="1"/>
  <c r="C677" i="1" a="1"/>
  <c r="C677" i="1" s="1"/>
  <c r="C678" i="1" a="1"/>
  <c r="C678" i="1"/>
  <c r="C679" i="1" a="1"/>
  <c r="C679" i="1"/>
  <c r="C680" i="1" a="1"/>
  <c r="C680" i="1"/>
  <c r="C681" i="1" a="1"/>
  <c r="C681" i="1" s="1"/>
  <c r="G681" i="1" s="1"/>
  <c r="C682" i="1" a="1"/>
  <c r="C682" i="1" s="1"/>
  <c r="C683" i="1" a="1"/>
  <c r="C683" i="1"/>
  <c r="C684" i="1" a="1"/>
  <c r="C684" i="1"/>
  <c r="C685" i="1" a="1"/>
  <c r="C685" i="1" s="1"/>
  <c r="C686" i="1" a="1"/>
  <c r="C686" i="1"/>
  <c r="G686" i="1" s="1"/>
  <c r="C687" i="1" a="1"/>
  <c r="C687" i="1"/>
  <c r="C688" i="1" a="1"/>
  <c r="C688" i="1"/>
  <c r="C689" i="1" a="1"/>
  <c r="C689" i="1" s="1"/>
  <c r="C690" i="1" a="1"/>
  <c r="C690" i="1"/>
  <c r="C691" i="1" a="1"/>
  <c r="C691" i="1" s="1"/>
  <c r="D691" i="1" s="1"/>
  <c r="C692" i="1" a="1"/>
  <c r="C692" i="1"/>
  <c r="C693" i="1" a="1"/>
  <c r="C693" i="1" s="1"/>
  <c r="C694" i="1" a="1"/>
  <c r="C694" i="1" s="1"/>
  <c r="G694" i="1" s="1"/>
  <c r="C695" i="1" a="1"/>
  <c r="C695" i="1"/>
  <c r="C696" i="1" a="1"/>
  <c r="C696" i="1"/>
  <c r="C697" i="1" a="1"/>
  <c r="C697" i="1" s="1"/>
  <c r="C698" i="1" a="1"/>
  <c r="C698" i="1"/>
  <c r="C699" i="1" a="1"/>
  <c r="C699" i="1"/>
  <c r="C700" i="1" a="1"/>
  <c r="C700" i="1" s="1"/>
  <c r="G700" i="1" s="1"/>
  <c r="C701" i="1" a="1"/>
  <c r="C701" i="1" s="1"/>
  <c r="C702" i="1" a="1"/>
  <c r="C702" i="1"/>
  <c r="C703" i="1" a="1"/>
  <c r="C703" i="1"/>
  <c r="C704" i="1" a="1"/>
  <c r="C704" i="1"/>
  <c r="C705" i="1" a="1"/>
  <c r="C705" i="1" s="1"/>
  <c r="C706" i="1" a="1"/>
  <c r="C706" i="1"/>
  <c r="C707" i="1" a="1"/>
  <c r="C707" i="1"/>
  <c r="C708" i="1" a="1"/>
  <c r="C708" i="1" s="1"/>
  <c r="G708" i="1" s="1"/>
  <c r="C709" i="1" a="1"/>
  <c r="C709" i="1" s="1"/>
  <c r="C710" i="1" a="1"/>
  <c r="C710" i="1"/>
  <c r="C711" i="1" a="1"/>
  <c r="C711" i="1"/>
  <c r="C712" i="1" a="1"/>
  <c r="C712" i="1"/>
  <c r="D712" i="1" s="1"/>
  <c r="C713" i="1" a="1"/>
  <c r="C713" i="1" s="1"/>
  <c r="C714" i="1" a="1"/>
  <c r="C714" i="1" s="1"/>
  <c r="C715" i="1" a="1"/>
  <c r="C715" i="1"/>
  <c r="C716" i="1" a="1"/>
  <c r="C716" i="1"/>
  <c r="G716" i="1" s="1"/>
  <c r="C717" i="1" a="1"/>
  <c r="C717" i="1" s="1"/>
  <c r="C718" i="1" a="1"/>
  <c r="C718" i="1" s="1"/>
  <c r="G718" i="1" s="1"/>
  <c r="C719" i="1" a="1"/>
  <c r="C719" i="1"/>
  <c r="C720" i="1" a="1"/>
  <c r="C720" i="1"/>
  <c r="C721" i="1" a="1"/>
  <c r="C721" i="1" s="1"/>
  <c r="G721" i="1" s="1"/>
  <c r="C722" i="1" a="1"/>
  <c r="C722" i="1"/>
  <c r="C723" i="1" a="1"/>
  <c r="C723" i="1" s="1"/>
  <c r="C724" i="1" a="1"/>
  <c r="C724" i="1"/>
  <c r="C725" i="1" a="1"/>
  <c r="C725" i="1" s="1"/>
  <c r="C726" i="1" a="1"/>
  <c r="C726" i="1"/>
  <c r="G726" i="1" s="1"/>
  <c r="C727" i="1" a="1"/>
  <c r="C727" i="1"/>
  <c r="C728" i="1" a="1"/>
  <c r="C728" i="1"/>
  <c r="C729" i="1" a="1"/>
  <c r="C729" i="1" s="1"/>
  <c r="C730" i="1" a="1"/>
  <c r="C730" i="1"/>
  <c r="G730" i="1" s="1"/>
  <c r="C731" i="1" a="1"/>
  <c r="C731" i="1" s="1"/>
  <c r="D731" i="1" s="1"/>
  <c r="C732" i="1" a="1"/>
  <c r="C732" i="1" s="1"/>
  <c r="G732" i="1" s="1"/>
  <c r="C733" i="1" a="1"/>
  <c r="C733" i="1" s="1"/>
  <c r="C734" i="1" a="1"/>
  <c r="C734" i="1"/>
  <c r="C735" i="1" a="1"/>
  <c r="C735" i="1" s="1"/>
  <c r="G735" i="1" s="1"/>
  <c r="C736" i="1" a="1"/>
  <c r="C736" i="1" s="1"/>
  <c r="D736" i="1" s="1"/>
  <c r="C737" i="1" a="1"/>
  <c r="C737" i="1" s="1"/>
  <c r="C738" i="1" a="1"/>
  <c r="C738" i="1"/>
  <c r="C739" i="1" a="1"/>
  <c r="C739" i="1"/>
  <c r="G739" i="1" s="1"/>
  <c r="C740" i="1" a="1"/>
  <c r="C740" i="1"/>
  <c r="G740" i="1" s="1"/>
  <c r="C741" i="1" a="1"/>
  <c r="C741" i="1" s="1"/>
  <c r="C742" i="1" a="1"/>
  <c r="C742" i="1"/>
  <c r="C743" i="1" a="1"/>
  <c r="C743" i="1"/>
  <c r="C744" i="1" a="1"/>
  <c r="C744" i="1" s="1"/>
  <c r="C745" i="1" a="1"/>
  <c r="C745" i="1" s="1"/>
  <c r="C746" i="1" a="1"/>
  <c r="C746" i="1" s="1"/>
  <c r="C747" i="1" a="1"/>
  <c r="C747" i="1"/>
  <c r="C748" i="1" a="1"/>
  <c r="C748" i="1"/>
  <c r="G748" i="1" s="1"/>
  <c r="C749" i="1" a="1"/>
  <c r="C749" i="1" s="1"/>
  <c r="G749" i="1" s="1"/>
  <c r="C750" i="1" a="1"/>
  <c r="C750" i="1"/>
  <c r="G750" i="1" s="1"/>
  <c r="C751" i="1" a="1"/>
  <c r="C751" i="1"/>
  <c r="C752" i="1" a="1"/>
  <c r="C752" i="1"/>
  <c r="C753" i="1" a="1"/>
  <c r="C753" i="1" s="1"/>
  <c r="C754" i="1" a="1"/>
  <c r="C754" i="1" s="1"/>
  <c r="G754" i="1" s="1"/>
  <c r="C755" i="1" a="1"/>
  <c r="C755" i="1" s="1"/>
  <c r="C756" i="1" a="1"/>
  <c r="C756" i="1"/>
  <c r="C757" i="1" a="1"/>
  <c r="C757" i="1" s="1"/>
  <c r="C758" i="1" a="1"/>
  <c r="C758" i="1"/>
  <c r="G758" i="1" s="1"/>
  <c r="C759" i="1" a="1"/>
  <c r="C759" i="1" s="1"/>
  <c r="G759" i="1" s="1"/>
  <c r="C760" i="1" a="1"/>
  <c r="C760" i="1"/>
  <c r="C761" i="1" a="1"/>
  <c r="C761" i="1" s="1"/>
  <c r="C762" i="1" a="1"/>
  <c r="C762" i="1"/>
  <c r="C763" i="1" a="1"/>
  <c r="C763" i="1"/>
  <c r="D763" i="1" s="1"/>
  <c r="C764" i="1" a="1"/>
  <c r="C764" i="1" s="1"/>
  <c r="G764" i="1" s="1"/>
  <c r="C765" i="1" a="1"/>
  <c r="C765" i="1" s="1"/>
  <c r="C766" i="1" a="1"/>
  <c r="C766" i="1"/>
  <c r="C767" i="1" a="1"/>
  <c r="C767" i="1"/>
  <c r="C768" i="1" a="1"/>
  <c r="C768" i="1"/>
  <c r="G768" i="1" s="1"/>
  <c r="C769" i="1" a="1"/>
  <c r="C769" i="1" s="1"/>
  <c r="C770" i="1" a="1"/>
  <c r="C770" i="1"/>
  <c r="C771" i="1" a="1"/>
  <c r="C771" i="1"/>
  <c r="C772" i="1" a="1"/>
  <c r="C772" i="1"/>
  <c r="G772" i="1" s="1"/>
  <c r="C773" i="1" a="1"/>
  <c r="C773" i="1" s="1"/>
  <c r="D773" i="1" s="1"/>
  <c r="C774" i="1" a="1"/>
  <c r="C774" i="1"/>
  <c r="C775" i="1" a="1"/>
  <c r="C775" i="1"/>
  <c r="C776" i="1" a="1"/>
  <c r="C776" i="1"/>
  <c r="C777" i="1" a="1"/>
  <c r="C777" i="1" s="1"/>
  <c r="C778" i="1" a="1"/>
  <c r="C778" i="1" s="1"/>
  <c r="C779" i="1" a="1"/>
  <c r="C779" i="1"/>
  <c r="C780" i="1" a="1"/>
  <c r="C780" i="1"/>
  <c r="G780" i="1" s="1"/>
  <c r="C781" i="1" a="1"/>
  <c r="C781" i="1" s="1"/>
  <c r="C782" i="1" a="1"/>
  <c r="C782" i="1"/>
  <c r="G782" i="1" s="1"/>
  <c r="C783" i="1" a="1"/>
  <c r="C783" i="1"/>
  <c r="C784" i="1" a="1"/>
  <c r="C784" i="1"/>
  <c r="C785" i="1" a="1"/>
  <c r="C785" i="1" s="1"/>
  <c r="G785" i="1" s="1"/>
  <c r="C786" i="1" a="1"/>
  <c r="C786" i="1"/>
  <c r="C787" i="1" a="1"/>
  <c r="C787" i="1" s="1"/>
  <c r="C788" i="1" a="1"/>
  <c r="C788" i="1"/>
  <c r="C789" i="1" a="1"/>
  <c r="C789" i="1" s="1"/>
  <c r="C790" i="1" a="1"/>
  <c r="C790" i="1"/>
  <c r="G790" i="1" s="1"/>
  <c r="C791" i="1" a="1"/>
  <c r="C791" i="1"/>
  <c r="C792" i="1" a="1"/>
  <c r="C792" i="1"/>
  <c r="C793" i="1" a="1"/>
  <c r="C793" i="1" s="1"/>
  <c r="C794" i="1" a="1"/>
  <c r="C794" i="1"/>
  <c r="C795" i="1" a="1"/>
  <c r="C795" i="1" s="1"/>
  <c r="C796" i="1" a="1"/>
  <c r="C796" i="1" s="1"/>
  <c r="G796" i="1" s="1"/>
  <c r="C797" i="1" a="1"/>
  <c r="C797" i="1" s="1"/>
  <c r="C798" i="1" a="1"/>
  <c r="C798" i="1"/>
  <c r="C799" i="1" a="1"/>
  <c r="C799" i="1" s="1"/>
  <c r="G799" i="1" s="1"/>
  <c r="C800" i="1" a="1"/>
  <c r="C800" i="1" s="1"/>
  <c r="C801" i="1" a="1"/>
  <c r="C801" i="1" s="1"/>
  <c r="C802" i="1" a="1"/>
  <c r="C802" i="1"/>
  <c r="C803" i="1" a="1"/>
  <c r="C803" i="1"/>
  <c r="G803" i="1" s="1"/>
  <c r="C804" i="1" a="1"/>
  <c r="C804" i="1"/>
  <c r="G804" i="1" s="1"/>
  <c r="C805" i="1" a="1"/>
  <c r="C805" i="1" s="1"/>
  <c r="C806" i="1" a="1"/>
  <c r="C806" i="1"/>
  <c r="C807" i="1" a="1"/>
  <c r="C807" i="1"/>
  <c r="C808" i="1" a="1"/>
  <c r="C808" i="1" s="1"/>
  <c r="C809" i="1" a="1"/>
  <c r="C809" i="1" s="1"/>
  <c r="G809" i="1" s="1"/>
  <c r="C810" i="1" a="1"/>
  <c r="C810" i="1" s="1"/>
  <c r="C811" i="1" a="1"/>
  <c r="C811" i="1"/>
  <c r="C812" i="1" a="1"/>
  <c r="C812" i="1"/>
  <c r="G812" i="1" s="1"/>
  <c r="C813" i="1" a="1"/>
  <c r="C813" i="1" s="1"/>
  <c r="G813" i="1" s="1"/>
  <c r="C814" i="1" a="1"/>
  <c r="C814" i="1"/>
  <c r="G814" i="1" s="1"/>
  <c r="C815" i="1" a="1"/>
  <c r="C815" i="1"/>
  <c r="C816" i="1" a="1"/>
  <c r="C816" i="1"/>
  <c r="C817" i="1" a="1"/>
  <c r="C817" i="1" s="1"/>
  <c r="C818" i="1" a="1"/>
  <c r="C818" i="1" s="1"/>
  <c r="G818" i="1" s="1"/>
  <c r="C819" i="1" a="1"/>
  <c r="C819" i="1" s="1"/>
  <c r="C820" i="1" a="1"/>
  <c r="C820" i="1"/>
  <c r="C821" i="1" a="1"/>
  <c r="C821" i="1" s="1"/>
  <c r="C822" i="1" a="1"/>
  <c r="C822" i="1" s="1"/>
  <c r="G822" i="1" s="1"/>
  <c r="C823" i="1" a="1"/>
  <c r="C823" i="1" s="1"/>
  <c r="G823" i="1" s="1"/>
  <c r="C824" i="1" a="1"/>
  <c r="C824" i="1"/>
  <c r="C825" i="1" a="1"/>
  <c r="C825" i="1" s="1"/>
  <c r="C826" i="1" a="1"/>
  <c r="C826" i="1"/>
  <c r="C827" i="1" a="1"/>
  <c r="C827" i="1"/>
  <c r="G827" i="1" s="1"/>
  <c r="C828" i="1" a="1"/>
  <c r="C828" i="1" s="1"/>
  <c r="G828" i="1" s="1"/>
  <c r="C829" i="1" a="1"/>
  <c r="C829" i="1" s="1"/>
  <c r="C830" i="1" a="1"/>
  <c r="C830" i="1"/>
  <c r="C831" i="1" a="1"/>
  <c r="C831" i="1"/>
  <c r="C832" i="1" a="1"/>
  <c r="C832" i="1"/>
  <c r="G832" i="1" s="1"/>
  <c r="C833" i="1" a="1"/>
  <c r="C833" i="1" s="1"/>
  <c r="C834" i="1" a="1"/>
  <c r="C834" i="1"/>
  <c r="C835" i="1" a="1"/>
  <c r="C835" i="1"/>
  <c r="C836" i="1" a="1"/>
  <c r="C836" i="1" s="1"/>
  <c r="G836" i="1" s="1"/>
  <c r="C837" i="1" a="1"/>
  <c r="C837" i="1" s="1"/>
  <c r="G837" i="1" s="1"/>
  <c r="C838" i="1" a="1"/>
  <c r="C838" i="1"/>
  <c r="C839" i="1" a="1"/>
  <c r="C839" i="1"/>
  <c r="C840" i="1" a="1"/>
  <c r="C840" i="1"/>
  <c r="D840" i="1" s="1"/>
  <c r="C841" i="1" a="1"/>
  <c r="C841" i="1" s="1"/>
  <c r="G841" i="1" s="1"/>
  <c r="C842" i="1" a="1"/>
  <c r="C842" i="1" s="1"/>
  <c r="G842" i="1" s="1"/>
  <c r="C843" i="1" a="1"/>
  <c r="C843" i="1"/>
  <c r="C844" i="1" a="1"/>
  <c r="C844" i="1"/>
  <c r="G844" i="1" s="1"/>
  <c r="C845" i="1" a="1"/>
  <c r="C845" i="1" s="1"/>
  <c r="C846" i="1" a="1"/>
  <c r="C846" i="1" s="1"/>
  <c r="G846" i="1" s="1"/>
  <c r="C847" i="1" a="1"/>
  <c r="C847" i="1"/>
  <c r="C848" i="1" a="1"/>
  <c r="C848" i="1"/>
  <c r="C849" i="1" a="1"/>
  <c r="C849" i="1" s="1"/>
  <c r="C850" i="1" a="1"/>
  <c r="C850" i="1"/>
  <c r="C851" i="1" a="1"/>
  <c r="C851" i="1" s="1"/>
  <c r="G851" i="1" s="1"/>
  <c r="C852" i="1" a="1"/>
  <c r="C852" i="1"/>
  <c r="C853" i="1" a="1"/>
  <c r="C853" i="1" s="1"/>
  <c r="C854" i="1" a="1"/>
  <c r="C854" i="1"/>
  <c r="G854" i="1" s="1"/>
  <c r="C855" i="1" a="1"/>
  <c r="C855" i="1"/>
  <c r="C856" i="1" a="1"/>
  <c r="C856" i="1"/>
  <c r="C857" i="1" a="1"/>
  <c r="C857" i="1" s="1"/>
  <c r="C858" i="1" a="1"/>
  <c r="C858" i="1"/>
  <c r="C859" i="1" a="1"/>
  <c r="C859" i="1"/>
  <c r="C860" i="1" a="1"/>
  <c r="C860" i="1" s="1"/>
  <c r="G860" i="1" s="1"/>
  <c r="C861" i="1" a="1"/>
  <c r="C861" i="1" s="1"/>
  <c r="C862" i="1" a="1"/>
  <c r="C862" i="1"/>
  <c r="G862" i="1" s="1"/>
  <c r="C863" i="1" a="1"/>
  <c r="C863" i="1" s="1"/>
  <c r="G863" i="1" s="1"/>
  <c r="C864" i="1" a="1"/>
  <c r="C864" i="1"/>
  <c r="G864" i="1" s="1"/>
  <c r="C865" i="1" a="1"/>
  <c r="C865" i="1" s="1"/>
  <c r="C866" i="1" a="1"/>
  <c r="C866" i="1"/>
  <c r="C867" i="1" a="1"/>
  <c r="C867" i="1"/>
  <c r="C868" i="1" a="1"/>
  <c r="C868" i="1"/>
  <c r="G868" i="1" s="1"/>
  <c r="C869" i="1" a="1"/>
  <c r="C869" i="1" s="1"/>
  <c r="C870" i="1" a="1"/>
  <c r="C870" i="1"/>
  <c r="C871" i="1" a="1"/>
  <c r="C871" i="1"/>
  <c r="C872" i="1" a="1"/>
  <c r="C872" i="1" s="1"/>
  <c r="C873" i="1" a="1"/>
  <c r="C873" i="1" s="1"/>
  <c r="C874" i="1" a="1"/>
  <c r="C874" i="1" s="1"/>
  <c r="C875" i="1" a="1"/>
  <c r="C875" i="1"/>
  <c r="C876" i="1" a="1"/>
  <c r="C876" i="1"/>
  <c r="G876" i="1" s="1"/>
  <c r="C877" i="1" a="1"/>
  <c r="C877" i="1" s="1"/>
  <c r="C878" i="1" a="1"/>
  <c r="C878" i="1"/>
  <c r="G878" i="1" s="1"/>
  <c r="C879" i="1" a="1"/>
  <c r="C879" i="1"/>
  <c r="C880" i="1" a="1"/>
  <c r="C880" i="1"/>
  <c r="C881" i="1" a="1"/>
  <c r="C881" i="1" s="1"/>
  <c r="C882" i="1" a="1"/>
  <c r="C882" i="1" s="1"/>
  <c r="G882" i="1" s="1"/>
  <c r="C883" i="1" a="1"/>
  <c r="C883" i="1" s="1"/>
  <c r="G883" i="1" s="1"/>
  <c r="C884" i="1" a="1"/>
  <c r="C884" i="1" s="1"/>
  <c r="G884" i="1" s="1"/>
  <c r="C885" i="1" a="1"/>
  <c r="C885" i="1" s="1"/>
  <c r="C886" i="1" a="1"/>
  <c r="C886" i="1"/>
  <c r="G886" i="1" s="1"/>
  <c r="C887" i="1" a="1"/>
  <c r="C887" i="1"/>
  <c r="G887" i="1" s="1"/>
  <c r="C888" i="1" a="1"/>
  <c r="C888" i="1"/>
  <c r="C889" i="1" a="1"/>
  <c r="C889" i="1" s="1"/>
  <c r="C890" i="1" a="1"/>
  <c r="C890" i="1"/>
  <c r="C891" i="1" a="1"/>
  <c r="C891" i="1" s="1"/>
  <c r="D891" i="1" s="1"/>
  <c r="C892" i="1" a="1"/>
  <c r="C892" i="1" s="1"/>
  <c r="G892" i="1" s="1"/>
  <c r="C893" i="1" a="1"/>
  <c r="C893" i="1" s="1"/>
  <c r="C894" i="1" a="1"/>
  <c r="C894" i="1"/>
  <c r="C895" i="1" a="1"/>
  <c r="C895" i="1" s="1"/>
  <c r="G895" i="1" s="1"/>
  <c r="C896" i="1" a="1"/>
  <c r="C896" i="1" s="1"/>
  <c r="C897" i="1" a="1"/>
  <c r="C897" i="1" s="1"/>
  <c r="C898" i="1" a="1"/>
  <c r="C898" i="1" s="1"/>
  <c r="C899" i="1" a="1"/>
  <c r="C899" i="1"/>
  <c r="C900" i="1" a="1"/>
  <c r="C900" i="1" s="1"/>
  <c r="G900" i="1" s="1"/>
  <c r="C901" i="1" a="1"/>
  <c r="C901" i="1" s="1"/>
  <c r="C902" i="1" a="1"/>
  <c r="C902" i="1"/>
  <c r="C903" i="1" a="1"/>
  <c r="C903" i="1"/>
  <c r="G903" i="1" s="1"/>
  <c r="C904" i="1" a="1"/>
  <c r="C904" i="1"/>
  <c r="G904" i="1" s="1"/>
  <c r="C905" i="1" a="1"/>
  <c r="C905" i="1" s="1"/>
  <c r="G905" i="1" s="1"/>
  <c r="C906" i="1" a="1"/>
  <c r="C906" i="1" s="1"/>
  <c r="G906" i="1" s="1"/>
  <c r="C907" i="1" a="1"/>
  <c r="C907" i="1" s="1"/>
  <c r="G907" i="1" s="1"/>
  <c r="C908" i="1" a="1"/>
  <c r="C908" i="1"/>
  <c r="C909" i="1" a="1"/>
  <c r="C909" i="1" s="1"/>
  <c r="C910" i="1" a="1"/>
  <c r="C910" i="1"/>
  <c r="G910" i="1" s="1"/>
  <c r="C911" i="1" a="1"/>
  <c r="C911" i="1"/>
  <c r="G911" i="1" s="1"/>
  <c r="C912" i="1" a="1"/>
  <c r="C912" i="1"/>
  <c r="G912" i="1" s="1"/>
  <c r="C913" i="1" a="1"/>
  <c r="C913" i="1" s="1"/>
  <c r="G913" i="1" s="1"/>
  <c r="C914" i="1" a="1"/>
  <c r="C914" i="1"/>
  <c r="G914" i="1" s="1"/>
  <c r="C915" i="1" a="1"/>
  <c r="C915" i="1" s="1"/>
  <c r="D915" i="1" s="1"/>
  <c r="C916" i="1" a="1"/>
  <c r="C916" i="1" s="1"/>
  <c r="C917" i="1" a="1"/>
  <c r="C917" i="1" s="1"/>
  <c r="C918" i="1" a="1"/>
  <c r="C918" i="1"/>
  <c r="G918" i="1" s="1"/>
  <c r="C919" i="1" a="1"/>
  <c r="C919" i="1"/>
  <c r="G919" i="1" s="1"/>
  <c r="C920" i="1" a="1"/>
  <c r="C920" i="1"/>
  <c r="C921" i="1" a="1"/>
  <c r="C921" i="1" s="1"/>
  <c r="C922" i="1" a="1"/>
  <c r="C922" i="1"/>
  <c r="G922" i="1" s="1"/>
  <c r="C923" i="1" a="1"/>
  <c r="C923" i="1" s="1"/>
  <c r="C924" i="1" a="1"/>
  <c r="C924" i="1" s="1"/>
  <c r="C925" i="1" a="1"/>
  <c r="C925" i="1" s="1"/>
  <c r="C926" i="1" a="1"/>
  <c r="C926" i="1"/>
  <c r="C927" i="1" a="1"/>
  <c r="C927" i="1" s="1"/>
  <c r="G927" i="1" s="1"/>
  <c r="C928" i="1" a="1"/>
  <c r="C928" i="1" s="1"/>
  <c r="D928" i="1" s="1"/>
  <c r="C929" i="1" a="1"/>
  <c r="C929" i="1" s="1"/>
  <c r="C930" i="1" a="1"/>
  <c r="C930" i="1" s="1"/>
  <c r="G930" i="1" s="1"/>
  <c r="C931" i="1" a="1"/>
  <c r="C931" i="1"/>
  <c r="G931" i="1" s="1"/>
  <c r="C932" i="1" a="1"/>
  <c r="C932" i="1" s="1"/>
  <c r="G932" i="1" s="1"/>
  <c r="C933" i="1" a="1"/>
  <c r="C933" i="1" s="1"/>
  <c r="C934" i="1" a="1"/>
  <c r="C934" i="1"/>
  <c r="C935" i="1" a="1"/>
  <c r="C935" i="1"/>
  <c r="G935" i="1" s="1"/>
  <c r="C936" i="1" a="1"/>
  <c r="C936" i="1"/>
  <c r="C937" i="1" a="1"/>
  <c r="C937" i="1" s="1"/>
  <c r="C938" i="1" a="1"/>
  <c r="C938" i="1" s="1"/>
  <c r="G938" i="1" s="1"/>
  <c r="C939" i="1" a="1"/>
  <c r="C939" i="1" s="1"/>
  <c r="G939" i="1" s="1"/>
  <c r="C940" i="1" a="1"/>
  <c r="C940" i="1"/>
  <c r="G940" i="1" s="1"/>
  <c r="C941" i="1" a="1"/>
  <c r="C941" i="1" s="1"/>
  <c r="C942" i="1" a="1"/>
  <c r="C942" i="1"/>
  <c r="C943" i="1" a="1"/>
  <c r="C943" i="1"/>
  <c r="G943" i="1" s="1"/>
  <c r="C944" i="1" a="1"/>
  <c r="C944" i="1"/>
  <c r="C945" i="1" a="1"/>
  <c r="C945" i="1" s="1"/>
  <c r="C946" i="1" a="1"/>
  <c r="C946" i="1" s="1"/>
  <c r="G946" i="1" s="1"/>
  <c r="C947" i="1" a="1"/>
  <c r="C947" i="1" s="1"/>
  <c r="G947" i="1" s="1"/>
  <c r="C948" i="1" a="1"/>
  <c r="C948" i="1" s="1"/>
  <c r="G948" i="1" s="1"/>
  <c r="C949" i="1" a="1"/>
  <c r="C949" i="1" s="1"/>
  <c r="C950" i="1" a="1"/>
  <c r="C950" i="1"/>
  <c r="G950" i="1" s="1"/>
  <c r="C951" i="1" a="1"/>
  <c r="C951" i="1"/>
  <c r="G951" i="1" s="1"/>
  <c r="C952" i="1" a="1"/>
  <c r="C952" i="1"/>
  <c r="C953" i="1" a="1"/>
  <c r="C953" i="1" s="1"/>
  <c r="C954" i="1" a="1"/>
  <c r="C954" i="1" s="1"/>
  <c r="G954" i="1" s="1"/>
  <c r="C955" i="1" a="1"/>
  <c r="C955" i="1"/>
  <c r="C956" i="1" a="1"/>
  <c r="C956" i="1" s="1"/>
  <c r="C957" i="1" a="1"/>
  <c r="C957" i="1" s="1"/>
  <c r="C958" i="1" a="1"/>
  <c r="C958" i="1"/>
  <c r="G958" i="1" s="1"/>
  <c r="C959" i="1" a="1"/>
  <c r="C959" i="1" s="1"/>
  <c r="G959" i="1" s="1"/>
  <c r="C960" i="1" a="1"/>
  <c r="C960" i="1"/>
  <c r="G960" i="1" s="1"/>
  <c r="C961" i="1" a="1"/>
  <c r="C961" i="1" s="1"/>
  <c r="C962" i="1" a="1"/>
  <c r="C962" i="1" s="1"/>
  <c r="G962" i="1" s="1"/>
  <c r="C963" i="1" a="1"/>
  <c r="C963" i="1" s="1"/>
  <c r="D963" i="1" s="1"/>
  <c r="C964" i="1" a="1"/>
  <c r="C964" i="1" s="1"/>
  <c r="G964" i="1" s="1"/>
  <c r="C965" i="1" a="1"/>
  <c r="C965" i="1" s="1"/>
  <c r="C966" i="1" a="1"/>
  <c r="C966" i="1"/>
  <c r="C967" i="1" a="1"/>
  <c r="C967" i="1"/>
  <c r="G967" i="1" s="1"/>
  <c r="C968" i="1" a="1"/>
  <c r="C968" i="1"/>
  <c r="C969" i="1" a="1"/>
  <c r="C969" i="1" s="1"/>
  <c r="G969" i="1" s="1"/>
  <c r="C970" i="1" a="1"/>
  <c r="C970" i="1" s="1"/>
  <c r="C971" i="1" a="1"/>
  <c r="C971" i="1" s="1"/>
  <c r="C972" i="1" a="1"/>
  <c r="C972" i="1" s="1"/>
  <c r="G972" i="1" s="1"/>
  <c r="C973" i="1" a="1"/>
  <c r="C973" i="1" s="1"/>
  <c r="G973" i="1" s="1"/>
  <c r="C974" i="1" a="1"/>
  <c r="C974" i="1"/>
  <c r="C975" i="1" a="1"/>
  <c r="C975" i="1"/>
  <c r="G975" i="1" s="1"/>
  <c r="C976" i="1" a="1"/>
  <c r="C976" i="1"/>
  <c r="C977" i="1" a="1"/>
  <c r="C977" i="1" s="1"/>
  <c r="G977" i="1" s="1"/>
  <c r="C978" i="1" a="1"/>
  <c r="C978" i="1" s="1"/>
  <c r="G978" i="1" s="1"/>
  <c r="C979" i="1" a="1"/>
  <c r="C979" i="1" s="1"/>
  <c r="C980" i="1" a="1"/>
  <c r="C980" i="1" s="1"/>
  <c r="C981" i="1" a="1"/>
  <c r="C981" i="1" s="1"/>
  <c r="C982" i="1" a="1"/>
  <c r="C982" i="1"/>
  <c r="G982" i="1" s="1"/>
  <c r="C983" i="1" a="1"/>
  <c r="C983" i="1"/>
  <c r="G983" i="1" s="1"/>
  <c r="C984" i="1" a="1"/>
  <c r="C984" i="1"/>
  <c r="C985" i="1" a="1"/>
  <c r="C985" i="1" s="1"/>
  <c r="C986" i="1" a="1"/>
  <c r="C986" i="1" s="1"/>
  <c r="G986" i="1" s="1"/>
  <c r="C987" i="1" a="1"/>
  <c r="C987" i="1" s="1"/>
  <c r="C988" i="1" a="1"/>
  <c r="C988" i="1" s="1"/>
  <c r="G988" i="1" s="1"/>
  <c r="C989" i="1" a="1"/>
  <c r="C989" i="1" s="1"/>
  <c r="C990" i="1" a="1"/>
  <c r="C990" i="1"/>
  <c r="C991" i="1" a="1"/>
  <c r="C991" i="1" s="1"/>
  <c r="G991" i="1" s="1"/>
  <c r="C992" i="1" a="1"/>
  <c r="C992" i="1" s="1"/>
  <c r="G992" i="1" s="1"/>
  <c r="C993" i="1" a="1"/>
  <c r="C993" i="1" s="1"/>
  <c r="C994" i="1" a="1"/>
  <c r="C994" i="1" s="1"/>
  <c r="G994" i="1" s="1"/>
  <c r="C995" i="1" a="1"/>
  <c r="C995" i="1" s="1"/>
  <c r="C996" i="1" a="1"/>
  <c r="C996" i="1" s="1"/>
  <c r="G996" i="1" s="1"/>
  <c r="C997" i="1" a="1"/>
  <c r="C997" i="1" s="1"/>
  <c r="G997" i="1" s="1"/>
  <c r="C998" i="1" a="1"/>
  <c r="C998" i="1"/>
  <c r="C999" i="1" a="1"/>
  <c r="C999" i="1"/>
  <c r="G999" i="1" s="1"/>
  <c r="C1000" i="1" a="1"/>
  <c r="C1000" i="1"/>
  <c r="C1001" i="1" a="1"/>
  <c r="C1001" i="1" s="1"/>
  <c r="G1001" i="1" s="1"/>
  <c r="C3" i="1" a="1"/>
  <c r="C3" i="1" s="1"/>
  <c r="C4" i="1" a="1"/>
  <c r="C4" i="1"/>
  <c r="D4" i="1" s="1"/>
  <c r="C5" i="1" a="1"/>
  <c r="C5" i="1" s="1"/>
  <c r="C2" i="1" a="1"/>
  <c r="C2" i="1" s="1"/>
  <c r="G1000" i="1"/>
  <c r="G998" i="1"/>
  <c r="G993" i="1"/>
  <c r="G990" i="1"/>
  <c r="G989" i="1"/>
  <c r="G985" i="1"/>
  <c r="G984" i="1"/>
  <c r="G981" i="1"/>
  <c r="G980" i="1"/>
  <c r="G974" i="1"/>
  <c r="G971" i="1"/>
  <c r="G970" i="1"/>
  <c r="G966" i="1"/>
  <c r="G965" i="1"/>
  <c r="G963" i="1"/>
  <c r="G961" i="1"/>
  <c r="G957" i="1"/>
  <c r="G956" i="1"/>
  <c r="G955" i="1"/>
  <c r="G953" i="1"/>
  <c r="G952" i="1"/>
  <c r="G945" i="1"/>
  <c r="G944" i="1"/>
  <c r="G942" i="1"/>
  <c r="G937" i="1"/>
  <c r="G936" i="1"/>
  <c r="G934" i="1"/>
  <c r="G929" i="1"/>
  <c r="G928" i="1"/>
  <c r="G926" i="1"/>
  <c r="G925" i="1"/>
  <c r="G924" i="1"/>
  <c r="G921" i="1"/>
  <c r="G920" i="1"/>
  <c r="G917" i="1"/>
  <c r="G916" i="1"/>
  <c r="G909" i="1"/>
  <c r="G908" i="1"/>
  <c r="G902" i="1"/>
  <c r="G901" i="1"/>
  <c r="G899" i="1"/>
  <c r="G898" i="1"/>
  <c r="G897" i="1"/>
  <c r="G894" i="1"/>
  <c r="G893" i="1"/>
  <c r="G890" i="1"/>
  <c r="G889" i="1"/>
  <c r="G888" i="1"/>
  <c r="G885" i="1"/>
  <c r="G881" i="1"/>
  <c r="G880" i="1"/>
  <c r="G879" i="1"/>
  <c r="G875" i="1"/>
  <c r="G874" i="1"/>
  <c r="G873" i="1"/>
  <c r="G871" i="1"/>
  <c r="G870" i="1"/>
  <c r="G869" i="1"/>
  <c r="G866" i="1"/>
  <c r="G865" i="1"/>
  <c r="G861" i="1"/>
  <c r="G859" i="1"/>
  <c r="G858" i="1"/>
  <c r="G857" i="1"/>
  <c r="G856" i="1"/>
  <c r="G855" i="1"/>
  <c r="G853" i="1"/>
  <c r="G852" i="1"/>
  <c r="G850" i="1"/>
  <c r="G849" i="1"/>
  <c r="G848" i="1"/>
  <c r="G847" i="1"/>
  <c r="G845" i="1"/>
  <c r="G843" i="1"/>
  <c r="G840" i="1"/>
  <c r="G839" i="1"/>
  <c r="G838" i="1"/>
  <c r="G835" i="1"/>
  <c r="G834" i="1"/>
  <c r="G833" i="1"/>
  <c r="G831" i="1"/>
  <c r="G830" i="1"/>
  <c r="G829" i="1"/>
  <c r="G826" i="1"/>
  <c r="G825" i="1"/>
  <c r="G824" i="1"/>
  <c r="G821" i="1"/>
  <c r="G820" i="1"/>
  <c r="G817" i="1"/>
  <c r="G816" i="1"/>
  <c r="G815" i="1"/>
  <c r="G811" i="1"/>
  <c r="G810" i="1"/>
  <c r="G807" i="1"/>
  <c r="G806" i="1"/>
  <c r="G805" i="1"/>
  <c r="G802" i="1"/>
  <c r="G801" i="1"/>
  <c r="G798" i="1"/>
  <c r="G797" i="1"/>
  <c r="G794" i="1"/>
  <c r="G793" i="1"/>
  <c r="G792" i="1"/>
  <c r="G791" i="1"/>
  <c r="G789" i="1"/>
  <c r="G788" i="1"/>
  <c r="G787" i="1"/>
  <c r="G786" i="1"/>
  <c r="G784" i="1"/>
  <c r="G783" i="1"/>
  <c r="G781" i="1"/>
  <c r="G779" i="1"/>
  <c r="G778" i="1"/>
  <c r="G777" i="1"/>
  <c r="G776" i="1"/>
  <c r="G775" i="1"/>
  <c r="G774" i="1"/>
  <c r="G771" i="1"/>
  <c r="G770" i="1"/>
  <c r="G769" i="1"/>
  <c r="G767" i="1"/>
  <c r="G766" i="1"/>
  <c r="G765" i="1"/>
  <c r="G762" i="1"/>
  <c r="G761" i="1"/>
  <c r="G760" i="1"/>
  <c r="G757" i="1"/>
  <c r="G756" i="1"/>
  <c r="G755" i="1"/>
  <c r="G753" i="1"/>
  <c r="G752" i="1"/>
  <c r="G751" i="1"/>
  <c r="G747" i="1"/>
  <c r="G746" i="1"/>
  <c r="G745" i="1"/>
  <c r="G743" i="1"/>
  <c r="G742" i="1"/>
  <c r="G741" i="1"/>
  <c r="G738" i="1"/>
  <c r="G737" i="1"/>
  <c r="G734" i="1"/>
  <c r="G733" i="1"/>
  <c r="G731" i="1"/>
  <c r="G729" i="1"/>
  <c r="G728" i="1"/>
  <c r="G727" i="1"/>
  <c r="G725" i="1"/>
  <c r="G724" i="1"/>
  <c r="G723" i="1"/>
  <c r="G722" i="1"/>
  <c r="G720" i="1"/>
  <c r="G719" i="1"/>
  <c r="G717" i="1"/>
  <c r="G715" i="1"/>
  <c r="G714" i="1"/>
  <c r="G713" i="1"/>
  <c r="G712" i="1"/>
  <c r="G711" i="1"/>
  <c r="G710" i="1"/>
  <c r="G709" i="1"/>
  <c r="G707" i="1"/>
  <c r="G706" i="1"/>
  <c r="G705" i="1"/>
  <c r="G704" i="1"/>
  <c r="G703" i="1"/>
  <c r="G702" i="1"/>
  <c r="G701" i="1"/>
  <c r="G699" i="1"/>
  <c r="G698" i="1"/>
  <c r="G697" i="1"/>
  <c r="G696" i="1"/>
  <c r="G695" i="1"/>
  <c r="G693" i="1"/>
  <c r="G692" i="1"/>
  <c r="G690" i="1"/>
  <c r="G689" i="1"/>
  <c r="G688" i="1"/>
  <c r="G687" i="1"/>
  <c r="G685" i="1"/>
  <c r="G684" i="1"/>
  <c r="G683" i="1"/>
  <c r="G682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6" i="1"/>
  <c r="G665" i="1"/>
  <c r="G664" i="1"/>
  <c r="G661" i="1"/>
  <c r="G660" i="1"/>
  <c r="G659" i="1"/>
  <c r="G656" i="1"/>
  <c r="G655" i="1"/>
  <c r="G653" i="1"/>
  <c r="G652" i="1"/>
  <c r="G651" i="1"/>
  <c r="G649" i="1"/>
  <c r="G648" i="1"/>
  <c r="G647" i="1"/>
  <c r="G646" i="1"/>
  <c r="G644" i="1"/>
  <c r="G643" i="1"/>
  <c r="G642" i="1"/>
  <c r="G641" i="1"/>
  <c r="G640" i="1"/>
  <c r="G638" i="1"/>
  <c r="G637" i="1"/>
  <c r="G636" i="1"/>
  <c r="G634" i="1"/>
  <c r="G633" i="1"/>
  <c r="G632" i="1"/>
  <c r="G629" i="1"/>
  <c r="G628" i="1"/>
  <c r="G627" i="1"/>
  <c r="G625" i="1"/>
  <c r="G624" i="1"/>
  <c r="G623" i="1"/>
  <c r="G622" i="1"/>
  <c r="G620" i="1"/>
  <c r="G619" i="1"/>
  <c r="G618" i="1"/>
  <c r="G617" i="1"/>
  <c r="G615" i="1"/>
  <c r="G614" i="1"/>
  <c r="G613" i="1"/>
  <c r="G612" i="1"/>
  <c r="G610" i="1"/>
  <c r="G609" i="1"/>
  <c r="G608" i="1"/>
  <c r="G606" i="1"/>
  <c r="G605" i="1"/>
  <c r="G604" i="1"/>
  <c r="G603" i="1"/>
  <c r="G602" i="1"/>
  <c r="G601" i="1"/>
  <c r="G600" i="1"/>
  <c r="G598" i="1"/>
  <c r="G597" i="1"/>
  <c r="G596" i="1"/>
  <c r="G595" i="1"/>
  <c r="G593" i="1"/>
  <c r="G592" i="1"/>
  <c r="G591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4" i="1"/>
  <c r="G573" i="1"/>
  <c r="G572" i="1"/>
  <c r="G571" i="1"/>
  <c r="G569" i="1"/>
  <c r="G568" i="1"/>
  <c r="G565" i="1"/>
  <c r="G564" i="1"/>
  <c r="G561" i="1"/>
  <c r="G560" i="1"/>
  <c r="G559" i="1"/>
  <c r="G557" i="1"/>
  <c r="G556" i="1"/>
  <c r="G555" i="1"/>
  <c r="G554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8" i="1"/>
  <c r="G537" i="1"/>
  <c r="G536" i="1"/>
  <c r="G535" i="1"/>
  <c r="G533" i="1"/>
  <c r="G532" i="1"/>
  <c r="G531" i="1"/>
  <c r="G530" i="1"/>
  <c r="G529" i="1"/>
  <c r="G528" i="1"/>
  <c r="G527" i="1"/>
  <c r="G526" i="1"/>
  <c r="G525" i="1"/>
  <c r="G524" i="1"/>
  <c r="G523" i="1"/>
  <c r="G521" i="1"/>
  <c r="G520" i="1"/>
  <c r="G519" i="1"/>
  <c r="G518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8" i="1"/>
  <c r="G497" i="1"/>
  <c r="G496" i="1"/>
  <c r="G495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6" i="1"/>
  <c r="G465" i="1"/>
  <c r="G464" i="1"/>
  <c r="G463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4" i="1"/>
  <c r="G433" i="1"/>
  <c r="G432" i="1"/>
  <c r="G431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H400" i="1" s="1"/>
  <c r="G399" i="1"/>
  <c r="G398" i="1"/>
  <c r="G397" i="1"/>
  <c r="G396" i="1"/>
  <c r="G395" i="1"/>
  <c r="G394" i="1"/>
  <c r="G393" i="1"/>
  <c r="G392" i="1"/>
  <c r="G391" i="1"/>
  <c r="G390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0" i="1"/>
  <c r="G319" i="1"/>
  <c r="G318" i="1"/>
  <c r="G317" i="1"/>
  <c r="G316" i="1"/>
  <c r="G315" i="1"/>
  <c r="G314" i="1"/>
  <c r="G313" i="1"/>
  <c r="G311" i="1"/>
  <c r="G310" i="1"/>
  <c r="G309" i="1"/>
  <c r="G308" i="1"/>
  <c r="G307" i="1"/>
  <c r="G306" i="1"/>
  <c r="G305" i="1"/>
  <c r="G304" i="1"/>
  <c r="G303" i="1"/>
  <c r="G302" i="1"/>
  <c r="G300" i="1"/>
  <c r="G299" i="1"/>
  <c r="G298" i="1"/>
  <c r="G297" i="1"/>
  <c r="G296" i="1"/>
  <c r="G295" i="1"/>
  <c r="G294" i="1"/>
  <c r="G293" i="1"/>
  <c r="G292" i="1"/>
  <c r="G291" i="1"/>
  <c r="G290" i="1"/>
  <c r="G288" i="1"/>
  <c r="G287" i="1"/>
  <c r="G286" i="1"/>
  <c r="G285" i="1"/>
  <c r="G284" i="1"/>
  <c r="G283" i="1"/>
  <c r="G282" i="1"/>
  <c r="G281" i="1"/>
  <c r="G280" i="1"/>
  <c r="G278" i="1"/>
  <c r="G277" i="1"/>
  <c r="G276" i="1"/>
  <c r="G275" i="1"/>
  <c r="G274" i="1"/>
  <c r="G272" i="1"/>
  <c r="G271" i="1"/>
  <c r="G270" i="1"/>
  <c r="G269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8" i="1"/>
  <c r="G217" i="1"/>
  <c r="G216" i="1"/>
  <c r="G215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0" i="1"/>
  <c r="G109" i="1"/>
  <c r="G108" i="1"/>
  <c r="G107" i="1"/>
  <c r="G106" i="1"/>
  <c r="G105" i="1"/>
  <c r="G104" i="1"/>
  <c r="G102" i="1"/>
  <c r="G101" i="1"/>
  <c r="G100" i="1"/>
  <c r="G99" i="1"/>
  <c r="G98" i="1"/>
  <c r="G97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8" i="1"/>
  <c r="G37" i="1"/>
  <c r="G36" i="1"/>
  <c r="G35" i="1"/>
  <c r="G34" i="1"/>
  <c r="G33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0" i="1"/>
  <c r="G9" i="1"/>
  <c r="G8" i="1"/>
  <c r="G7" i="1"/>
  <c r="G6" i="1"/>
  <c r="G4" i="1"/>
  <c r="A1001" i="1"/>
  <c r="B1001" i="1"/>
  <c r="D1001" i="1"/>
  <c r="E1001" i="1" a="1"/>
  <c r="E1001" i="1" s="1"/>
  <c r="F1001" i="1"/>
  <c r="A3" i="1"/>
  <c r="B3" i="1"/>
  <c r="E3" i="1" a="1"/>
  <c r="E3" i="1" s="1"/>
  <c r="F3" i="1"/>
  <c r="A4" i="1"/>
  <c r="B4" i="1"/>
  <c r="E4" i="1" a="1"/>
  <c r="E4" i="1" s="1"/>
  <c r="F4" i="1"/>
  <c r="A5" i="1"/>
  <c r="B5" i="1"/>
  <c r="E5" i="1" a="1"/>
  <c r="E5" i="1" s="1"/>
  <c r="F5" i="1"/>
  <c r="A6" i="1"/>
  <c r="B6" i="1"/>
  <c r="D6" i="1"/>
  <c r="E6" i="1" a="1"/>
  <c r="E6" i="1" s="1"/>
  <c r="F6" i="1"/>
  <c r="A7" i="1"/>
  <c r="B7" i="1"/>
  <c r="D7" i="1"/>
  <c r="E7" i="1" a="1"/>
  <c r="E7" i="1" s="1"/>
  <c r="F7" i="1"/>
  <c r="A8" i="1"/>
  <c r="B8" i="1"/>
  <c r="D8" i="1"/>
  <c r="E8" i="1" a="1"/>
  <c r="E8" i="1" s="1"/>
  <c r="F8" i="1"/>
  <c r="A9" i="1"/>
  <c r="B9" i="1"/>
  <c r="D9" i="1"/>
  <c r="E9" i="1" a="1"/>
  <c r="E9" i="1" s="1"/>
  <c r="F9" i="1"/>
  <c r="H9" i="1" s="1"/>
  <c r="A10" i="1"/>
  <c r="B10" i="1"/>
  <c r="D10" i="1"/>
  <c r="E10" i="1" a="1"/>
  <c r="E10" i="1" s="1"/>
  <c r="F10" i="1"/>
  <c r="A11" i="1"/>
  <c r="B11" i="1"/>
  <c r="E11" i="1" a="1"/>
  <c r="E11" i="1" s="1"/>
  <c r="F11" i="1"/>
  <c r="A12" i="1"/>
  <c r="B12" i="1"/>
  <c r="D12" i="1"/>
  <c r="E12" i="1" a="1"/>
  <c r="E12" i="1" s="1"/>
  <c r="F12" i="1"/>
  <c r="A13" i="1"/>
  <c r="B13" i="1"/>
  <c r="D13" i="1"/>
  <c r="E13" i="1" a="1"/>
  <c r="E13" i="1" s="1"/>
  <c r="F13" i="1"/>
  <c r="H13" i="1" s="1"/>
  <c r="A14" i="1"/>
  <c r="B14" i="1"/>
  <c r="D14" i="1"/>
  <c r="E14" i="1" a="1"/>
  <c r="E14" i="1" s="1"/>
  <c r="F14" i="1"/>
  <c r="A15" i="1"/>
  <c r="B15" i="1"/>
  <c r="D15" i="1"/>
  <c r="E15" i="1" a="1"/>
  <c r="E15" i="1" s="1"/>
  <c r="F15" i="1"/>
  <c r="A16" i="1"/>
  <c r="B16" i="1"/>
  <c r="D16" i="1"/>
  <c r="E16" i="1" a="1"/>
  <c r="E16" i="1" s="1"/>
  <c r="F16" i="1"/>
  <c r="A17" i="1"/>
  <c r="B17" i="1"/>
  <c r="D17" i="1"/>
  <c r="E17" i="1" a="1"/>
  <c r="E17" i="1" s="1"/>
  <c r="F17" i="1"/>
  <c r="H17" i="1" s="1"/>
  <c r="A18" i="1"/>
  <c r="B18" i="1"/>
  <c r="D18" i="1"/>
  <c r="E18" i="1" a="1"/>
  <c r="E18" i="1" s="1"/>
  <c r="F18" i="1"/>
  <c r="A19" i="1"/>
  <c r="B19" i="1"/>
  <c r="D19" i="1"/>
  <c r="E19" i="1" a="1"/>
  <c r="E19" i="1" s="1"/>
  <c r="F19" i="1"/>
  <c r="A20" i="1"/>
  <c r="B20" i="1"/>
  <c r="D20" i="1"/>
  <c r="E20" i="1" a="1"/>
  <c r="E20" i="1" s="1"/>
  <c r="F20" i="1"/>
  <c r="A21" i="1"/>
  <c r="B21" i="1"/>
  <c r="D21" i="1"/>
  <c r="E21" i="1" a="1"/>
  <c r="E21" i="1" s="1"/>
  <c r="F21" i="1"/>
  <c r="H21" i="1" s="1"/>
  <c r="A22" i="1"/>
  <c r="B22" i="1"/>
  <c r="D22" i="1"/>
  <c r="E22" i="1" a="1"/>
  <c r="E22" i="1" s="1"/>
  <c r="F22" i="1"/>
  <c r="A23" i="1"/>
  <c r="B23" i="1"/>
  <c r="D23" i="1"/>
  <c r="E23" i="1" a="1"/>
  <c r="E23" i="1" s="1"/>
  <c r="F23" i="1"/>
  <c r="A24" i="1"/>
  <c r="B24" i="1"/>
  <c r="D24" i="1"/>
  <c r="E24" i="1" a="1"/>
  <c r="E24" i="1" s="1"/>
  <c r="F24" i="1"/>
  <c r="A25" i="1"/>
  <c r="B25" i="1"/>
  <c r="D25" i="1"/>
  <c r="E25" i="1" a="1"/>
  <c r="E25" i="1" s="1"/>
  <c r="F25" i="1"/>
  <c r="H25" i="1" s="1"/>
  <c r="A26" i="1"/>
  <c r="B26" i="1"/>
  <c r="D26" i="1"/>
  <c r="E26" i="1" a="1"/>
  <c r="E26" i="1" s="1"/>
  <c r="F26" i="1"/>
  <c r="A27" i="1"/>
  <c r="B27" i="1"/>
  <c r="D27" i="1"/>
  <c r="E27" i="1" a="1"/>
  <c r="E27" i="1" s="1"/>
  <c r="F27" i="1"/>
  <c r="A28" i="1"/>
  <c r="B28" i="1"/>
  <c r="D28" i="1"/>
  <c r="E28" i="1" a="1"/>
  <c r="E28" i="1" s="1"/>
  <c r="F28" i="1"/>
  <c r="A29" i="1"/>
  <c r="B29" i="1"/>
  <c r="D29" i="1"/>
  <c r="E29" i="1" a="1"/>
  <c r="E29" i="1" s="1"/>
  <c r="F29" i="1"/>
  <c r="H29" i="1" s="1"/>
  <c r="A30" i="1"/>
  <c r="B30" i="1"/>
  <c r="D30" i="1"/>
  <c r="E30" i="1" a="1"/>
  <c r="E30" i="1" s="1"/>
  <c r="F30" i="1"/>
  <c r="A31" i="1"/>
  <c r="B31" i="1"/>
  <c r="D31" i="1"/>
  <c r="E31" i="1" a="1"/>
  <c r="E31" i="1" s="1"/>
  <c r="F31" i="1"/>
  <c r="A32" i="1"/>
  <c r="B32" i="1"/>
  <c r="E32" i="1" a="1"/>
  <c r="E32" i="1" s="1"/>
  <c r="F32" i="1"/>
  <c r="A33" i="1"/>
  <c r="B33" i="1"/>
  <c r="D33" i="1"/>
  <c r="E33" i="1" a="1"/>
  <c r="E33" i="1" s="1"/>
  <c r="F33" i="1"/>
  <c r="H33" i="1" s="1"/>
  <c r="A34" i="1"/>
  <c r="B34" i="1"/>
  <c r="D34" i="1"/>
  <c r="E34" i="1" a="1"/>
  <c r="E34" i="1" s="1"/>
  <c r="F34" i="1"/>
  <c r="A35" i="1"/>
  <c r="B35" i="1"/>
  <c r="D35" i="1"/>
  <c r="E35" i="1" a="1"/>
  <c r="E35" i="1" s="1"/>
  <c r="F35" i="1"/>
  <c r="A36" i="1"/>
  <c r="B36" i="1"/>
  <c r="D36" i="1"/>
  <c r="E36" i="1" a="1"/>
  <c r="E36" i="1" s="1"/>
  <c r="F36" i="1"/>
  <c r="A37" i="1"/>
  <c r="B37" i="1"/>
  <c r="D37" i="1"/>
  <c r="E37" i="1" a="1"/>
  <c r="E37" i="1" s="1"/>
  <c r="F37" i="1"/>
  <c r="H37" i="1" s="1"/>
  <c r="A38" i="1"/>
  <c r="B38" i="1"/>
  <c r="D38" i="1"/>
  <c r="E38" i="1" a="1"/>
  <c r="E38" i="1" s="1"/>
  <c r="F38" i="1"/>
  <c r="A39" i="1"/>
  <c r="B39" i="1"/>
  <c r="E39" i="1" a="1"/>
  <c r="E39" i="1" s="1"/>
  <c r="F39" i="1"/>
  <c r="A40" i="1"/>
  <c r="B40" i="1"/>
  <c r="D40" i="1"/>
  <c r="E40" i="1" a="1"/>
  <c r="E40" i="1" s="1"/>
  <c r="F40" i="1"/>
  <c r="A41" i="1"/>
  <c r="B41" i="1"/>
  <c r="D41" i="1"/>
  <c r="E41" i="1" a="1"/>
  <c r="E41" i="1" s="1"/>
  <c r="F41" i="1"/>
  <c r="H41" i="1" s="1"/>
  <c r="A42" i="1"/>
  <c r="B42" i="1"/>
  <c r="D42" i="1"/>
  <c r="E42" i="1" a="1"/>
  <c r="E42" i="1" s="1"/>
  <c r="F42" i="1"/>
  <c r="A43" i="1"/>
  <c r="B43" i="1"/>
  <c r="D43" i="1"/>
  <c r="E43" i="1" a="1"/>
  <c r="E43" i="1" s="1"/>
  <c r="F43" i="1"/>
  <c r="A44" i="1"/>
  <c r="B44" i="1"/>
  <c r="D44" i="1"/>
  <c r="E44" i="1" a="1"/>
  <c r="E44" i="1" s="1"/>
  <c r="F44" i="1"/>
  <c r="A45" i="1"/>
  <c r="B45" i="1"/>
  <c r="D45" i="1"/>
  <c r="E45" i="1" a="1"/>
  <c r="E45" i="1" s="1"/>
  <c r="F45" i="1"/>
  <c r="H45" i="1" s="1"/>
  <c r="A46" i="1"/>
  <c r="B46" i="1"/>
  <c r="D46" i="1"/>
  <c r="E46" i="1" a="1"/>
  <c r="E46" i="1" s="1"/>
  <c r="F46" i="1"/>
  <c r="A47" i="1"/>
  <c r="B47" i="1"/>
  <c r="D47" i="1"/>
  <c r="E47" i="1" a="1"/>
  <c r="E47" i="1" s="1"/>
  <c r="F47" i="1"/>
  <c r="A48" i="1"/>
  <c r="B48" i="1"/>
  <c r="D48" i="1"/>
  <c r="E48" i="1" a="1"/>
  <c r="E48" i="1" s="1"/>
  <c r="F48" i="1"/>
  <c r="A49" i="1"/>
  <c r="B49" i="1"/>
  <c r="D49" i="1"/>
  <c r="E49" i="1" a="1"/>
  <c r="E49" i="1" s="1"/>
  <c r="F49" i="1"/>
  <c r="A50" i="1"/>
  <c r="B50" i="1"/>
  <c r="D50" i="1"/>
  <c r="E50" i="1" a="1"/>
  <c r="E50" i="1" s="1"/>
  <c r="F50" i="1"/>
  <c r="A51" i="1"/>
  <c r="B51" i="1"/>
  <c r="D51" i="1"/>
  <c r="E51" i="1" a="1"/>
  <c r="E51" i="1" s="1"/>
  <c r="F51" i="1"/>
  <c r="A52" i="1"/>
  <c r="B52" i="1"/>
  <c r="D52" i="1"/>
  <c r="E52" i="1" a="1"/>
  <c r="E52" i="1" s="1"/>
  <c r="F52" i="1"/>
  <c r="A53" i="1"/>
  <c r="B53" i="1"/>
  <c r="E53" i="1" a="1"/>
  <c r="E53" i="1" s="1"/>
  <c r="F53" i="1"/>
  <c r="A54" i="1"/>
  <c r="B54" i="1"/>
  <c r="D54" i="1"/>
  <c r="E54" i="1" a="1"/>
  <c r="E54" i="1" s="1"/>
  <c r="F54" i="1"/>
  <c r="A55" i="1"/>
  <c r="B55" i="1"/>
  <c r="D55" i="1"/>
  <c r="E55" i="1" a="1"/>
  <c r="E55" i="1" s="1"/>
  <c r="F55" i="1"/>
  <c r="A56" i="1"/>
  <c r="B56" i="1"/>
  <c r="D56" i="1"/>
  <c r="E56" i="1" a="1"/>
  <c r="E56" i="1" s="1"/>
  <c r="F56" i="1"/>
  <c r="A57" i="1"/>
  <c r="B57" i="1"/>
  <c r="D57" i="1"/>
  <c r="E57" i="1" a="1"/>
  <c r="E57" i="1" s="1"/>
  <c r="F57" i="1"/>
  <c r="H57" i="1" s="1"/>
  <c r="A58" i="1"/>
  <c r="B58" i="1"/>
  <c r="D58" i="1"/>
  <c r="E58" i="1" a="1"/>
  <c r="E58" i="1" s="1"/>
  <c r="F58" i="1"/>
  <c r="A59" i="1"/>
  <c r="B59" i="1"/>
  <c r="D59" i="1"/>
  <c r="E59" i="1" a="1"/>
  <c r="E59" i="1" s="1"/>
  <c r="F59" i="1"/>
  <c r="A60" i="1"/>
  <c r="B60" i="1"/>
  <c r="D60" i="1"/>
  <c r="E60" i="1" a="1"/>
  <c r="E60" i="1" s="1"/>
  <c r="F60" i="1"/>
  <c r="A61" i="1"/>
  <c r="B61" i="1"/>
  <c r="D61" i="1"/>
  <c r="E61" i="1" a="1"/>
  <c r="E61" i="1" s="1"/>
  <c r="F61" i="1"/>
  <c r="H61" i="1" s="1"/>
  <c r="A62" i="1"/>
  <c r="B62" i="1"/>
  <c r="D62" i="1"/>
  <c r="E62" i="1" a="1"/>
  <c r="E62" i="1" s="1"/>
  <c r="F62" i="1"/>
  <c r="A63" i="1"/>
  <c r="B63" i="1"/>
  <c r="D63" i="1"/>
  <c r="E63" i="1" a="1"/>
  <c r="E63" i="1" s="1"/>
  <c r="F63" i="1"/>
  <c r="A64" i="1"/>
  <c r="B64" i="1"/>
  <c r="D64" i="1"/>
  <c r="E64" i="1" a="1"/>
  <c r="E64" i="1" s="1"/>
  <c r="F64" i="1"/>
  <c r="A65" i="1"/>
  <c r="B65" i="1"/>
  <c r="D65" i="1"/>
  <c r="E65" i="1" a="1"/>
  <c r="E65" i="1" s="1"/>
  <c r="F65" i="1"/>
  <c r="H65" i="1" s="1"/>
  <c r="A66" i="1"/>
  <c r="B66" i="1"/>
  <c r="D66" i="1"/>
  <c r="E66" i="1" a="1"/>
  <c r="E66" i="1" s="1"/>
  <c r="F66" i="1"/>
  <c r="A67" i="1"/>
  <c r="B67" i="1"/>
  <c r="D67" i="1"/>
  <c r="E67" i="1" a="1"/>
  <c r="E67" i="1" s="1"/>
  <c r="F67" i="1"/>
  <c r="A68" i="1"/>
  <c r="B68" i="1"/>
  <c r="D68" i="1"/>
  <c r="E68" i="1" a="1"/>
  <c r="E68" i="1" s="1"/>
  <c r="F68" i="1"/>
  <c r="A69" i="1"/>
  <c r="B69" i="1"/>
  <c r="D69" i="1"/>
  <c r="E69" i="1" a="1"/>
  <c r="E69" i="1" s="1"/>
  <c r="F69" i="1"/>
  <c r="H69" i="1" s="1"/>
  <c r="A70" i="1"/>
  <c r="B70" i="1"/>
  <c r="D70" i="1"/>
  <c r="E70" i="1" a="1"/>
  <c r="E70" i="1" s="1"/>
  <c r="F70" i="1"/>
  <c r="A71" i="1"/>
  <c r="B71" i="1"/>
  <c r="D71" i="1"/>
  <c r="E71" i="1" a="1"/>
  <c r="E71" i="1" s="1"/>
  <c r="F71" i="1"/>
  <c r="A72" i="1"/>
  <c r="B72" i="1"/>
  <c r="D72" i="1"/>
  <c r="E72" i="1" a="1"/>
  <c r="E72" i="1" s="1"/>
  <c r="F72" i="1"/>
  <c r="A73" i="1"/>
  <c r="B73" i="1"/>
  <c r="D73" i="1"/>
  <c r="E73" i="1" a="1"/>
  <c r="E73" i="1" s="1"/>
  <c r="F73" i="1"/>
  <c r="H73" i="1" s="1"/>
  <c r="A74" i="1"/>
  <c r="B74" i="1"/>
  <c r="D74" i="1"/>
  <c r="E74" i="1" a="1"/>
  <c r="E74" i="1" s="1"/>
  <c r="F74" i="1"/>
  <c r="A75" i="1"/>
  <c r="B75" i="1"/>
  <c r="D75" i="1"/>
  <c r="E75" i="1" a="1"/>
  <c r="E75" i="1" s="1"/>
  <c r="F75" i="1"/>
  <c r="A76" i="1"/>
  <c r="B76" i="1"/>
  <c r="D76" i="1"/>
  <c r="E76" i="1" a="1"/>
  <c r="E76" i="1" s="1"/>
  <c r="F76" i="1"/>
  <c r="A77" i="1"/>
  <c r="B77" i="1"/>
  <c r="D77" i="1"/>
  <c r="E77" i="1" a="1"/>
  <c r="E77" i="1" s="1"/>
  <c r="F77" i="1"/>
  <c r="H77" i="1" s="1"/>
  <c r="A78" i="1"/>
  <c r="B78" i="1"/>
  <c r="D78" i="1"/>
  <c r="E78" i="1" a="1"/>
  <c r="E78" i="1" s="1"/>
  <c r="F78" i="1"/>
  <c r="A79" i="1"/>
  <c r="B79" i="1"/>
  <c r="D79" i="1"/>
  <c r="E79" i="1" a="1"/>
  <c r="E79" i="1" s="1"/>
  <c r="F79" i="1"/>
  <c r="A80" i="1"/>
  <c r="B80" i="1"/>
  <c r="D80" i="1"/>
  <c r="E80" i="1" a="1"/>
  <c r="E80" i="1" s="1"/>
  <c r="F80" i="1"/>
  <c r="A81" i="1"/>
  <c r="B81" i="1"/>
  <c r="D81" i="1"/>
  <c r="E81" i="1" a="1"/>
  <c r="E81" i="1" s="1"/>
  <c r="F81" i="1"/>
  <c r="H81" i="1" s="1"/>
  <c r="A82" i="1"/>
  <c r="B82" i="1"/>
  <c r="D82" i="1"/>
  <c r="E82" i="1" a="1"/>
  <c r="E82" i="1" s="1"/>
  <c r="F82" i="1"/>
  <c r="A83" i="1"/>
  <c r="B83" i="1"/>
  <c r="D83" i="1"/>
  <c r="E83" i="1" a="1"/>
  <c r="E83" i="1" s="1"/>
  <c r="F83" i="1"/>
  <c r="A84" i="1"/>
  <c r="B84" i="1"/>
  <c r="D84" i="1"/>
  <c r="E84" i="1" a="1"/>
  <c r="E84" i="1" s="1"/>
  <c r="F84" i="1"/>
  <c r="A85" i="1"/>
  <c r="B85" i="1"/>
  <c r="D85" i="1"/>
  <c r="E85" i="1" a="1"/>
  <c r="E85" i="1" s="1"/>
  <c r="F85" i="1"/>
  <c r="H85" i="1" s="1"/>
  <c r="A86" i="1"/>
  <c r="B86" i="1"/>
  <c r="D86" i="1"/>
  <c r="E86" i="1" a="1"/>
  <c r="E86" i="1" s="1"/>
  <c r="F86" i="1"/>
  <c r="A87" i="1"/>
  <c r="B87" i="1"/>
  <c r="D87" i="1"/>
  <c r="E87" i="1" a="1"/>
  <c r="E87" i="1" s="1"/>
  <c r="F87" i="1"/>
  <c r="A88" i="1"/>
  <c r="B88" i="1"/>
  <c r="D88" i="1"/>
  <c r="E88" i="1" a="1"/>
  <c r="E88" i="1" s="1"/>
  <c r="F88" i="1"/>
  <c r="A89" i="1"/>
  <c r="B89" i="1"/>
  <c r="D89" i="1"/>
  <c r="E89" i="1" a="1"/>
  <c r="E89" i="1" s="1"/>
  <c r="F89" i="1"/>
  <c r="A90" i="1"/>
  <c r="B90" i="1"/>
  <c r="D90" i="1"/>
  <c r="E90" i="1" a="1"/>
  <c r="E90" i="1" s="1"/>
  <c r="F90" i="1"/>
  <c r="A91" i="1"/>
  <c r="B91" i="1"/>
  <c r="D91" i="1"/>
  <c r="E91" i="1" a="1"/>
  <c r="E91" i="1" s="1"/>
  <c r="F91" i="1"/>
  <c r="H91" i="1" s="1"/>
  <c r="A92" i="1"/>
  <c r="B92" i="1"/>
  <c r="D92" i="1"/>
  <c r="E92" i="1" a="1"/>
  <c r="E92" i="1" s="1"/>
  <c r="F92" i="1"/>
  <c r="A93" i="1"/>
  <c r="B93" i="1"/>
  <c r="D93" i="1"/>
  <c r="E93" i="1" a="1"/>
  <c r="E93" i="1" s="1"/>
  <c r="F93" i="1"/>
  <c r="H93" i="1" s="1"/>
  <c r="A94" i="1"/>
  <c r="B94" i="1"/>
  <c r="D94" i="1"/>
  <c r="E94" i="1" a="1"/>
  <c r="E94" i="1" s="1"/>
  <c r="F94" i="1"/>
  <c r="A95" i="1"/>
  <c r="B95" i="1"/>
  <c r="D95" i="1"/>
  <c r="E95" i="1" a="1"/>
  <c r="E95" i="1" s="1"/>
  <c r="F95" i="1"/>
  <c r="A96" i="1"/>
  <c r="B96" i="1"/>
  <c r="E96" i="1" a="1"/>
  <c r="E96" i="1" s="1"/>
  <c r="F96" i="1"/>
  <c r="A97" i="1"/>
  <c r="B97" i="1"/>
  <c r="D97" i="1"/>
  <c r="E97" i="1" a="1"/>
  <c r="E97" i="1" s="1"/>
  <c r="F97" i="1"/>
  <c r="A98" i="1"/>
  <c r="B98" i="1"/>
  <c r="D98" i="1"/>
  <c r="E98" i="1" a="1"/>
  <c r="E98" i="1" s="1"/>
  <c r="F98" i="1"/>
  <c r="A99" i="1"/>
  <c r="B99" i="1"/>
  <c r="D99" i="1"/>
  <c r="E99" i="1" a="1"/>
  <c r="E99" i="1" s="1"/>
  <c r="F99" i="1"/>
  <c r="H99" i="1" s="1"/>
  <c r="A100" i="1"/>
  <c r="B100" i="1"/>
  <c r="D100" i="1"/>
  <c r="E100" i="1" a="1"/>
  <c r="E100" i="1" s="1"/>
  <c r="F100" i="1"/>
  <c r="A101" i="1"/>
  <c r="B101" i="1"/>
  <c r="D101" i="1"/>
  <c r="E101" i="1" a="1"/>
  <c r="E101" i="1" s="1"/>
  <c r="F101" i="1"/>
  <c r="H101" i="1" s="1"/>
  <c r="A102" i="1"/>
  <c r="B102" i="1"/>
  <c r="D102" i="1"/>
  <c r="E102" i="1" a="1"/>
  <c r="E102" i="1" s="1"/>
  <c r="F102" i="1"/>
  <c r="A103" i="1"/>
  <c r="B103" i="1"/>
  <c r="E103" i="1" a="1"/>
  <c r="E103" i="1" s="1"/>
  <c r="F103" i="1"/>
  <c r="A104" i="1"/>
  <c r="B104" i="1"/>
  <c r="D104" i="1"/>
  <c r="E104" i="1" a="1"/>
  <c r="E104" i="1" s="1"/>
  <c r="F104" i="1"/>
  <c r="A105" i="1"/>
  <c r="B105" i="1"/>
  <c r="D105" i="1"/>
  <c r="E105" i="1" a="1"/>
  <c r="E105" i="1" s="1"/>
  <c r="F105" i="1"/>
  <c r="A106" i="1"/>
  <c r="B106" i="1"/>
  <c r="D106" i="1"/>
  <c r="E106" i="1" a="1"/>
  <c r="E106" i="1" s="1"/>
  <c r="F106" i="1"/>
  <c r="A107" i="1"/>
  <c r="B107" i="1"/>
  <c r="D107" i="1"/>
  <c r="E107" i="1" a="1"/>
  <c r="E107" i="1" s="1"/>
  <c r="F107" i="1"/>
  <c r="H107" i="1" s="1"/>
  <c r="A108" i="1"/>
  <c r="B108" i="1"/>
  <c r="D108" i="1"/>
  <c r="E108" i="1" a="1"/>
  <c r="E108" i="1" s="1"/>
  <c r="F108" i="1"/>
  <c r="A109" i="1"/>
  <c r="B109" i="1"/>
  <c r="D109" i="1"/>
  <c r="E109" i="1" a="1"/>
  <c r="E109" i="1" s="1"/>
  <c r="F109" i="1"/>
  <c r="H109" i="1" s="1"/>
  <c r="A110" i="1"/>
  <c r="B110" i="1"/>
  <c r="D110" i="1"/>
  <c r="E110" i="1" a="1"/>
  <c r="E110" i="1" s="1"/>
  <c r="F110" i="1"/>
  <c r="A111" i="1"/>
  <c r="B111" i="1"/>
  <c r="E111" i="1" a="1"/>
  <c r="E111" i="1" s="1"/>
  <c r="F111" i="1"/>
  <c r="A112" i="1"/>
  <c r="B112" i="1"/>
  <c r="D112" i="1"/>
  <c r="E112" i="1" a="1"/>
  <c r="E112" i="1" s="1"/>
  <c r="F112" i="1"/>
  <c r="A113" i="1"/>
  <c r="B113" i="1"/>
  <c r="D113" i="1"/>
  <c r="E113" i="1" a="1"/>
  <c r="E113" i="1" s="1"/>
  <c r="F113" i="1"/>
  <c r="A114" i="1"/>
  <c r="B114" i="1"/>
  <c r="D114" i="1"/>
  <c r="E114" i="1" a="1"/>
  <c r="E114" i="1" s="1"/>
  <c r="F114" i="1"/>
  <c r="A115" i="1"/>
  <c r="B115" i="1"/>
  <c r="D115" i="1"/>
  <c r="E115" i="1" a="1"/>
  <c r="E115" i="1" s="1"/>
  <c r="F115" i="1"/>
  <c r="H115" i="1" s="1"/>
  <c r="A116" i="1"/>
  <c r="B116" i="1"/>
  <c r="D116" i="1"/>
  <c r="E116" i="1" a="1"/>
  <c r="E116" i="1" s="1"/>
  <c r="F116" i="1"/>
  <c r="A117" i="1"/>
  <c r="B117" i="1"/>
  <c r="D117" i="1"/>
  <c r="E117" i="1" a="1"/>
  <c r="E117" i="1" s="1"/>
  <c r="F117" i="1"/>
  <c r="H117" i="1" s="1"/>
  <c r="A118" i="1"/>
  <c r="B118" i="1"/>
  <c r="D118" i="1"/>
  <c r="E118" i="1" a="1"/>
  <c r="E118" i="1" s="1"/>
  <c r="F118" i="1"/>
  <c r="A119" i="1"/>
  <c r="B119" i="1"/>
  <c r="D119" i="1"/>
  <c r="E119" i="1" a="1"/>
  <c r="E119" i="1" s="1"/>
  <c r="F119" i="1"/>
  <c r="A120" i="1"/>
  <c r="B120" i="1"/>
  <c r="D120" i="1"/>
  <c r="E120" i="1" a="1"/>
  <c r="E120" i="1" s="1"/>
  <c r="F120" i="1"/>
  <c r="A121" i="1"/>
  <c r="B121" i="1"/>
  <c r="D121" i="1"/>
  <c r="E121" i="1" a="1"/>
  <c r="E121" i="1" s="1"/>
  <c r="F121" i="1"/>
  <c r="A122" i="1"/>
  <c r="B122" i="1"/>
  <c r="D122" i="1"/>
  <c r="E122" i="1" a="1"/>
  <c r="E122" i="1" s="1"/>
  <c r="F122" i="1"/>
  <c r="A123" i="1"/>
  <c r="B123" i="1"/>
  <c r="D123" i="1"/>
  <c r="E123" i="1" a="1"/>
  <c r="E123" i="1" s="1"/>
  <c r="F123" i="1"/>
  <c r="H123" i="1" s="1"/>
  <c r="A124" i="1"/>
  <c r="B124" i="1"/>
  <c r="D124" i="1"/>
  <c r="E124" i="1" a="1"/>
  <c r="E124" i="1" s="1"/>
  <c r="F124" i="1"/>
  <c r="A125" i="1"/>
  <c r="B125" i="1"/>
  <c r="D125" i="1"/>
  <c r="E125" i="1" a="1"/>
  <c r="E125" i="1" s="1"/>
  <c r="F125" i="1"/>
  <c r="H125" i="1" s="1"/>
  <c r="A126" i="1"/>
  <c r="B126" i="1"/>
  <c r="D126" i="1"/>
  <c r="E126" i="1" a="1"/>
  <c r="E126" i="1" s="1"/>
  <c r="F126" i="1"/>
  <c r="A127" i="1"/>
  <c r="B127" i="1"/>
  <c r="D127" i="1"/>
  <c r="E127" i="1" a="1"/>
  <c r="E127" i="1" s="1"/>
  <c r="F127" i="1"/>
  <c r="A128" i="1"/>
  <c r="B128" i="1"/>
  <c r="D128" i="1"/>
  <c r="E128" i="1" a="1"/>
  <c r="E128" i="1" s="1"/>
  <c r="F128" i="1"/>
  <c r="A129" i="1"/>
  <c r="B129" i="1"/>
  <c r="D129" i="1"/>
  <c r="E129" i="1" a="1"/>
  <c r="E129" i="1" s="1"/>
  <c r="F129" i="1"/>
  <c r="A130" i="1"/>
  <c r="B130" i="1"/>
  <c r="D130" i="1"/>
  <c r="E130" i="1" a="1"/>
  <c r="E130" i="1" s="1"/>
  <c r="F130" i="1"/>
  <c r="A131" i="1"/>
  <c r="B131" i="1"/>
  <c r="D131" i="1"/>
  <c r="E131" i="1" a="1"/>
  <c r="E131" i="1" s="1"/>
  <c r="F131" i="1"/>
  <c r="H131" i="1" s="1"/>
  <c r="A132" i="1"/>
  <c r="B132" i="1"/>
  <c r="D132" i="1"/>
  <c r="E132" i="1" a="1"/>
  <c r="E132" i="1" s="1"/>
  <c r="F132" i="1"/>
  <c r="A133" i="1"/>
  <c r="B133" i="1"/>
  <c r="D133" i="1"/>
  <c r="E133" i="1" a="1"/>
  <c r="E133" i="1" s="1"/>
  <c r="F133" i="1"/>
  <c r="A134" i="1"/>
  <c r="B134" i="1"/>
  <c r="D134" i="1"/>
  <c r="E134" i="1" a="1"/>
  <c r="E134" i="1" s="1"/>
  <c r="F134" i="1"/>
  <c r="A135" i="1"/>
  <c r="B135" i="1"/>
  <c r="D135" i="1"/>
  <c r="E135" i="1" a="1"/>
  <c r="E135" i="1" s="1"/>
  <c r="F135" i="1"/>
  <c r="A136" i="1"/>
  <c r="B136" i="1"/>
  <c r="D136" i="1"/>
  <c r="E136" i="1" a="1"/>
  <c r="E136" i="1" s="1"/>
  <c r="F136" i="1"/>
  <c r="A137" i="1"/>
  <c r="B137" i="1"/>
  <c r="D137" i="1"/>
  <c r="E137" i="1" a="1"/>
  <c r="E137" i="1" s="1"/>
  <c r="F137" i="1"/>
  <c r="A138" i="1"/>
  <c r="B138" i="1"/>
  <c r="D138" i="1"/>
  <c r="E138" i="1" a="1"/>
  <c r="E138" i="1" s="1"/>
  <c r="F138" i="1"/>
  <c r="A139" i="1"/>
  <c r="B139" i="1"/>
  <c r="D139" i="1"/>
  <c r="E139" i="1" a="1"/>
  <c r="E139" i="1" s="1"/>
  <c r="F139" i="1"/>
  <c r="H139" i="1" s="1"/>
  <c r="A140" i="1"/>
  <c r="B140" i="1"/>
  <c r="D140" i="1"/>
  <c r="E140" i="1" a="1"/>
  <c r="E140" i="1" s="1"/>
  <c r="F140" i="1"/>
  <c r="A141" i="1"/>
  <c r="B141" i="1"/>
  <c r="D141" i="1"/>
  <c r="E141" i="1" a="1"/>
  <c r="E141" i="1" s="1"/>
  <c r="F141" i="1"/>
  <c r="A142" i="1"/>
  <c r="B142" i="1"/>
  <c r="D142" i="1"/>
  <c r="E142" i="1" a="1"/>
  <c r="E142" i="1" s="1"/>
  <c r="F142" i="1"/>
  <c r="A143" i="1"/>
  <c r="B143" i="1"/>
  <c r="D143" i="1"/>
  <c r="E143" i="1" a="1"/>
  <c r="E143" i="1" s="1"/>
  <c r="F143" i="1"/>
  <c r="A144" i="1"/>
  <c r="B144" i="1"/>
  <c r="D144" i="1"/>
  <c r="E144" i="1" a="1"/>
  <c r="E144" i="1" s="1"/>
  <c r="F144" i="1"/>
  <c r="A145" i="1"/>
  <c r="B145" i="1"/>
  <c r="D145" i="1"/>
  <c r="E145" i="1" a="1"/>
  <c r="E145" i="1" s="1"/>
  <c r="F145" i="1"/>
  <c r="A146" i="1"/>
  <c r="B146" i="1"/>
  <c r="D146" i="1"/>
  <c r="E146" i="1" a="1"/>
  <c r="E146" i="1" s="1"/>
  <c r="F146" i="1"/>
  <c r="A147" i="1"/>
  <c r="B147" i="1"/>
  <c r="D147" i="1"/>
  <c r="E147" i="1" a="1"/>
  <c r="E147" i="1" s="1"/>
  <c r="F147" i="1"/>
  <c r="H147" i="1" s="1"/>
  <c r="A148" i="1"/>
  <c r="B148" i="1"/>
  <c r="D148" i="1"/>
  <c r="E148" i="1" a="1"/>
  <c r="E148" i="1" s="1"/>
  <c r="F148" i="1"/>
  <c r="A149" i="1"/>
  <c r="B149" i="1"/>
  <c r="D149" i="1"/>
  <c r="E149" i="1" a="1"/>
  <c r="E149" i="1" s="1"/>
  <c r="F149" i="1"/>
  <c r="H149" i="1" s="1"/>
  <c r="A150" i="1"/>
  <c r="B150" i="1"/>
  <c r="D150" i="1"/>
  <c r="E150" i="1" a="1"/>
  <c r="E150" i="1" s="1"/>
  <c r="F150" i="1"/>
  <c r="A151" i="1"/>
  <c r="B151" i="1"/>
  <c r="D151" i="1"/>
  <c r="E151" i="1" a="1"/>
  <c r="E151" i="1" s="1"/>
  <c r="F151" i="1"/>
  <c r="A152" i="1"/>
  <c r="B152" i="1"/>
  <c r="D152" i="1"/>
  <c r="E152" i="1" a="1"/>
  <c r="E152" i="1" s="1"/>
  <c r="F152" i="1"/>
  <c r="A153" i="1"/>
  <c r="B153" i="1"/>
  <c r="D153" i="1"/>
  <c r="E153" i="1" a="1"/>
  <c r="E153" i="1" s="1"/>
  <c r="F153" i="1"/>
  <c r="A154" i="1"/>
  <c r="B154" i="1"/>
  <c r="D154" i="1"/>
  <c r="E154" i="1" a="1"/>
  <c r="E154" i="1" s="1"/>
  <c r="F154" i="1"/>
  <c r="A155" i="1"/>
  <c r="B155" i="1"/>
  <c r="D155" i="1"/>
  <c r="E155" i="1" a="1"/>
  <c r="E155" i="1" s="1"/>
  <c r="F155" i="1"/>
  <c r="H155" i="1" s="1"/>
  <c r="A156" i="1"/>
  <c r="B156" i="1"/>
  <c r="D156" i="1"/>
  <c r="E156" i="1" a="1"/>
  <c r="E156" i="1" s="1"/>
  <c r="F156" i="1"/>
  <c r="A157" i="1"/>
  <c r="B157" i="1"/>
  <c r="D157" i="1"/>
  <c r="E157" i="1" a="1"/>
  <c r="E157" i="1" s="1"/>
  <c r="F157" i="1"/>
  <c r="A158" i="1"/>
  <c r="B158" i="1"/>
  <c r="D158" i="1"/>
  <c r="E158" i="1" a="1"/>
  <c r="E158" i="1" s="1"/>
  <c r="F158" i="1"/>
  <c r="A159" i="1"/>
  <c r="B159" i="1"/>
  <c r="D159" i="1"/>
  <c r="E159" i="1" a="1"/>
  <c r="E159" i="1" s="1"/>
  <c r="F159" i="1"/>
  <c r="A160" i="1"/>
  <c r="B160" i="1"/>
  <c r="D160" i="1"/>
  <c r="E160" i="1" a="1"/>
  <c r="E160" i="1" s="1"/>
  <c r="F160" i="1"/>
  <c r="A161" i="1"/>
  <c r="B161" i="1"/>
  <c r="D161" i="1"/>
  <c r="E161" i="1" a="1"/>
  <c r="E161" i="1" s="1"/>
  <c r="F161" i="1"/>
  <c r="A162" i="1"/>
  <c r="B162" i="1"/>
  <c r="D162" i="1"/>
  <c r="E162" i="1" a="1"/>
  <c r="E162" i="1" s="1"/>
  <c r="F162" i="1"/>
  <c r="A163" i="1"/>
  <c r="B163" i="1"/>
  <c r="D163" i="1"/>
  <c r="E163" i="1" a="1"/>
  <c r="E163" i="1" s="1"/>
  <c r="F163" i="1"/>
  <c r="H163" i="1" s="1"/>
  <c r="A164" i="1"/>
  <c r="B164" i="1"/>
  <c r="D164" i="1"/>
  <c r="E164" i="1" a="1"/>
  <c r="E164" i="1" s="1"/>
  <c r="F164" i="1"/>
  <c r="A165" i="1"/>
  <c r="B165" i="1"/>
  <c r="D165" i="1"/>
  <c r="E165" i="1" a="1"/>
  <c r="E165" i="1" s="1"/>
  <c r="F165" i="1"/>
  <c r="H165" i="1" s="1"/>
  <c r="A166" i="1"/>
  <c r="B166" i="1"/>
  <c r="D166" i="1"/>
  <c r="E166" i="1" a="1"/>
  <c r="E166" i="1" s="1"/>
  <c r="F166" i="1"/>
  <c r="A167" i="1"/>
  <c r="B167" i="1"/>
  <c r="D167" i="1"/>
  <c r="E167" i="1" a="1"/>
  <c r="E167" i="1" s="1"/>
  <c r="F167" i="1"/>
  <c r="A168" i="1"/>
  <c r="B168" i="1"/>
  <c r="D168" i="1"/>
  <c r="E168" i="1" a="1"/>
  <c r="E168" i="1" s="1"/>
  <c r="F168" i="1"/>
  <c r="A169" i="1"/>
  <c r="B169" i="1"/>
  <c r="D169" i="1"/>
  <c r="E169" i="1" a="1"/>
  <c r="E169" i="1" s="1"/>
  <c r="F169" i="1"/>
  <c r="H169" i="1" s="1"/>
  <c r="A170" i="1"/>
  <c r="B170" i="1"/>
  <c r="D170" i="1"/>
  <c r="E170" i="1" a="1"/>
  <c r="E170" i="1" s="1"/>
  <c r="F170" i="1"/>
  <c r="A171" i="1"/>
  <c r="B171" i="1"/>
  <c r="D171" i="1"/>
  <c r="E171" i="1" a="1"/>
  <c r="E171" i="1" s="1"/>
  <c r="F171" i="1"/>
  <c r="H171" i="1" s="1"/>
  <c r="A172" i="1"/>
  <c r="B172" i="1"/>
  <c r="D172" i="1"/>
  <c r="E172" i="1" a="1"/>
  <c r="E172" i="1" s="1"/>
  <c r="F172" i="1"/>
  <c r="A173" i="1"/>
  <c r="B173" i="1"/>
  <c r="D173" i="1"/>
  <c r="E173" i="1" a="1"/>
  <c r="E173" i="1" s="1"/>
  <c r="F173" i="1"/>
  <c r="H173" i="1" s="1"/>
  <c r="A174" i="1"/>
  <c r="B174" i="1"/>
  <c r="D174" i="1"/>
  <c r="E174" i="1" a="1"/>
  <c r="E174" i="1" s="1"/>
  <c r="F174" i="1"/>
  <c r="H174" i="1" s="1"/>
  <c r="A175" i="1"/>
  <c r="B175" i="1"/>
  <c r="D175" i="1"/>
  <c r="E175" i="1" a="1"/>
  <c r="E175" i="1" s="1"/>
  <c r="F175" i="1"/>
  <c r="A176" i="1"/>
  <c r="B176" i="1"/>
  <c r="D176" i="1"/>
  <c r="E176" i="1" a="1"/>
  <c r="E176" i="1" s="1"/>
  <c r="F176" i="1"/>
  <c r="A177" i="1"/>
  <c r="B177" i="1"/>
  <c r="D177" i="1"/>
  <c r="E177" i="1" a="1"/>
  <c r="E177" i="1" s="1"/>
  <c r="F177" i="1"/>
  <c r="A178" i="1"/>
  <c r="B178" i="1"/>
  <c r="D178" i="1"/>
  <c r="E178" i="1" a="1"/>
  <c r="E178" i="1" s="1"/>
  <c r="F178" i="1"/>
  <c r="A179" i="1"/>
  <c r="B179" i="1"/>
  <c r="D179" i="1"/>
  <c r="E179" i="1" a="1"/>
  <c r="E179" i="1" s="1"/>
  <c r="F179" i="1"/>
  <c r="H179" i="1" s="1"/>
  <c r="A180" i="1"/>
  <c r="B180" i="1"/>
  <c r="D180" i="1"/>
  <c r="E180" i="1" a="1"/>
  <c r="E180" i="1" s="1"/>
  <c r="F180" i="1"/>
  <c r="A181" i="1"/>
  <c r="B181" i="1"/>
  <c r="D181" i="1"/>
  <c r="E181" i="1" a="1"/>
  <c r="E181" i="1" s="1"/>
  <c r="F181" i="1"/>
  <c r="H181" i="1" s="1"/>
  <c r="A182" i="1"/>
  <c r="B182" i="1"/>
  <c r="D182" i="1"/>
  <c r="E182" i="1" a="1"/>
  <c r="E182" i="1" s="1"/>
  <c r="F182" i="1"/>
  <c r="A183" i="1"/>
  <c r="B183" i="1"/>
  <c r="D183" i="1"/>
  <c r="E183" i="1" a="1"/>
  <c r="E183" i="1" s="1"/>
  <c r="F183" i="1"/>
  <c r="A184" i="1"/>
  <c r="B184" i="1"/>
  <c r="D184" i="1"/>
  <c r="E184" i="1" a="1"/>
  <c r="E184" i="1" s="1"/>
  <c r="F184" i="1"/>
  <c r="A185" i="1"/>
  <c r="B185" i="1"/>
  <c r="D185" i="1"/>
  <c r="E185" i="1" a="1"/>
  <c r="E185" i="1" s="1"/>
  <c r="F185" i="1"/>
  <c r="A186" i="1"/>
  <c r="B186" i="1"/>
  <c r="D186" i="1"/>
  <c r="E186" i="1" a="1"/>
  <c r="E186" i="1" s="1"/>
  <c r="F186" i="1"/>
  <c r="A187" i="1"/>
  <c r="B187" i="1"/>
  <c r="D187" i="1"/>
  <c r="E187" i="1" a="1"/>
  <c r="E187" i="1" s="1"/>
  <c r="F187" i="1"/>
  <c r="H187" i="1" s="1"/>
  <c r="A188" i="1"/>
  <c r="B188" i="1"/>
  <c r="D188" i="1"/>
  <c r="E188" i="1" a="1"/>
  <c r="E188" i="1" s="1"/>
  <c r="F188" i="1"/>
  <c r="A189" i="1"/>
  <c r="B189" i="1"/>
  <c r="D189" i="1"/>
  <c r="E189" i="1" a="1"/>
  <c r="E189" i="1" s="1"/>
  <c r="F189" i="1"/>
  <c r="A190" i="1"/>
  <c r="B190" i="1"/>
  <c r="D190" i="1"/>
  <c r="E190" i="1" a="1"/>
  <c r="E190" i="1" s="1"/>
  <c r="F190" i="1"/>
  <c r="A191" i="1"/>
  <c r="B191" i="1"/>
  <c r="D191" i="1"/>
  <c r="E191" i="1" a="1"/>
  <c r="E191" i="1" s="1"/>
  <c r="F191" i="1"/>
  <c r="A192" i="1"/>
  <c r="B192" i="1"/>
  <c r="D192" i="1"/>
  <c r="E192" i="1" a="1"/>
  <c r="E192" i="1" s="1"/>
  <c r="F192" i="1"/>
  <c r="A193" i="1"/>
  <c r="B193" i="1"/>
  <c r="D193" i="1"/>
  <c r="E193" i="1" a="1"/>
  <c r="E193" i="1" s="1"/>
  <c r="F193" i="1"/>
  <c r="A194" i="1"/>
  <c r="B194" i="1"/>
  <c r="D194" i="1"/>
  <c r="E194" i="1" a="1"/>
  <c r="E194" i="1" s="1"/>
  <c r="F194" i="1"/>
  <c r="A195" i="1"/>
  <c r="B195" i="1"/>
  <c r="D195" i="1"/>
  <c r="E195" i="1" a="1"/>
  <c r="E195" i="1" s="1"/>
  <c r="F195" i="1"/>
  <c r="H195" i="1" s="1"/>
  <c r="A196" i="1"/>
  <c r="B196" i="1"/>
  <c r="D196" i="1"/>
  <c r="E196" i="1" a="1"/>
  <c r="E196" i="1" s="1"/>
  <c r="F196" i="1"/>
  <c r="A197" i="1"/>
  <c r="B197" i="1"/>
  <c r="D197" i="1"/>
  <c r="E197" i="1" a="1"/>
  <c r="E197" i="1" s="1"/>
  <c r="F197" i="1"/>
  <c r="H197" i="1" s="1"/>
  <c r="A198" i="1"/>
  <c r="B198" i="1"/>
  <c r="D198" i="1"/>
  <c r="E198" i="1" a="1"/>
  <c r="E198" i="1" s="1"/>
  <c r="F198" i="1"/>
  <c r="H198" i="1" s="1"/>
  <c r="A199" i="1"/>
  <c r="B199" i="1"/>
  <c r="D199" i="1"/>
  <c r="E199" i="1" a="1"/>
  <c r="E199" i="1" s="1"/>
  <c r="F199" i="1"/>
  <c r="A200" i="1"/>
  <c r="B200" i="1"/>
  <c r="D200" i="1"/>
  <c r="E200" i="1" a="1"/>
  <c r="E200" i="1" s="1"/>
  <c r="F200" i="1"/>
  <c r="A201" i="1"/>
  <c r="B201" i="1"/>
  <c r="D201" i="1"/>
  <c r="E201" i="1" a="1"/>
  <c r="E201" i="1" s="1"/>
  <c r="F201" i="1"/>
  <c r="A202" i="1"/>
  <c r="B202" i="1"/>
  <c r="D202" i="1"/>
  <c r="E202" i="1" a="1"/>
  <c r="E202" i="1" s="1"/>
  <c r="F202" i="1"/>
  <c r="A203" i="1"/>
  <c r="B203" i="1"/>
  <c r="D203" i="1"/>
  <c r="E203" i="1" a="1"/>
  <c r="E203" i="1" s="1"/>
  <c r="F203" i="1"/>
  <c r="H203" i="1" s="1"/>
  <c r="A204" i="1"/>
  <c r="B204" i="1"/>
  <c r="D204" i="1"/>
  <c r="E204" i="1" a="1"/>
  <c r="E204" i="1" s="1"/>
  <c r="F204" i="1"/>
  <c r="A205" i="1"/>
  <c r="B205" i="1"/>
  <c r="D205" i="1"/>
  <c r="E205" i="1" a="1"/>
  <c r="E205" i="1" s="1"/>
  <c r="F205" i="1"/>
  <c r="H205" i="1" s="1"/>
  <c r="A206" i="1"/>
  <c r="B206" i="1"/>
  <c r="D206" i="1"/>
  <c r="E206" i="1" a="1"/>
  <c r="E206" i="1" s="1"/>
  <c r="F206" i="1"/>
  <c r="H206" i="1" s="1"/>
  <c r="A207" i="1"/>
  <c r="B207" i="1"/>
  <c r="D207" i="1"/>
  <c r="E207" i="1" a="1"/>
  <c r="E207" i="1" s="1"/>
  <c r="F207" i="1"/>
  <c r="A208" i="1"/>
  <c r="B208" i="1"/>
  <c r="D208" i="1"/>
  <c r="E208" i="1" a="1"/>
  <c r="E208" i="1" s="1"/>
  <c r="F208" i="1"/>
  <c r="A209" i="1"/>
  <c r="B209" i="1"/>
  <c r="D209" i="1"/>
  <c r="E209" i="1" a="1"/>
  <c r="E209" i="1" s="1"/>
  <c r="F209" i="1"/>
  <c r="A210" i="1"/>
  <c r="B210" i="1"/>
  <c r="D210" i="1"/>
  <c r="E210" i="1" a="1"/>
  <c r="E210" i="1" s="1"/>
  <c r="F210" i="1"/>
  <c r="A211" i="1"/>
  <c r="B211" i="1"/>
  <c r="D211" i="1"/>
  <c r="E211" i="1" a="1"/>
  <c r="E211" i="1" s="1"/>
  <c r="F211" i="1"/>
  <c r="H211" i="1" s="1"/>
  <c r="A212" i="1"/>
  <c r="B212" i="1"/>
  <c r="D212" i="1"/>
  <c r="E212" i="1" a="1"/>
  <c r="E212" i="1" s="1"/>
  <c r="F212" i="1"/>
  <c r="A213" i="1"/>
  <c r="B213" i="1"/>
  <c r="D213" i="1"/>
  <c r="E213" i="1" a="1"/>
  <c r="E213" i="1" s="1"/>
  <c r="F213" i="1"/>
  <c r="H213" i="1" s="1"/>
  <c r="A214" i="1"/>
  <c r="B214" i="1"/>
  <c r="E214" i="1" a="1"/>
  <c r="E214" i="1" s="1"/>
  <c r="F214" i="1"/>
  <c r="A215" i="1"/>
  <c r="B215" i="1"/>
  <c r="D215" i="1"/>
  <c r="E215" i="1" a="1"/>
  <c r="E215" i="1" s="1"/>
  <c r="F215" i="1"/>
  <c r="A216" i="1"/>
  <c r="B216" i="1"/>
  <c r="D216" i="1"/>
  <c r="E216" i="1" a="1"/>
  <c r="E216" i="1" s="1"/>
  <c r="F216" i="1"/>
  <c r="A217" i="1"/>
  <c r="B217" i="1"/>
  <c r="D217" i="1"/>
  <c r="E217" i="1" a="1"/>
  <c r="E217" i="1" s="1"/>
  <c r="F217" i="1"/>
  <c r="A218" i="1"/>
  <c r="B218" i="1"/>
  <c r="D218" i="1"/>
  <c r="E218" i="1" a="1"/>
  <c r="E218" i="1" s="1"/>
  <c r="F218" i="1"/>
  <c r="A219" i="1"/>
  <c r="B219" i="1"/>
  <c r="D219" i="1"/>
  <c r="E219" i="1" a="1"/>
  <c r="E219" i="1" s="1"/>
  <c r="F219" i="1"/>
  <c r="A220" i="1"/>
  <c r="B220" i="1"/>
  <c r="D220" i="1"/>
  <c r="E220" i="1" a="1"/>
  <c r="E220" i="1" s="1"/>
  <c r="F220" i="1"/>
  <c r="A221" i="1"/>
  <c r="B221" i="1"/>
  <c r="D221" i="1"/>
  <c r="E221" i="1" a="1"/>
  <c r="E221" i="1" s="1"/>
  <c r="F221" i="1"/>
  <c r="H221" i="1" s="1"/>
  <c r="A222" i="1"/>
  <c r="B222" i="1"/>
  <c r="D222" i="1"/>
  <c r="E222" i="1" a="1"/>
  <c r="E222" i="1" s="1"/>
  <c r="F222" i="1"/>
  <c r="H222" i="1" s="1"/>
  <c r="A223" i="1"/>
  <c r="B223" i="1"/>
  <c r="D223" i="1"/>
  <c r="E223" i="1" a="1"/>
  <c r="E223" i="1" s="1"/>
  <c r="F223" i="1"/>
  <c r="A224" i="1"/>
  <c r="B224" i="1"/>
  <c r="E224" i="1" a="1"/>
  <c r="E224" i="1" s="1"/>
  <c r="F224" i="1"/>
  <c r="A225" i="1"/>
  <c r="B225" i="1"/>
  <c r="D225" i="1"/>
  <c r="E225" i="1" a="1"/>
  <c r="E225" i="1" s="1"/>
  <c r="F225" i="1"/>
  <c r="A226" i="1"/>
  <c r="B226" i="1"/>
  <c r="D226" i="1"/>
  <c r="E226" i="1" a="1"/>
  <c r="E226" i="1" s="1"/>
  <c r="F226" i="1"/>
  <c r="A227" i="1"/>
  <c r="B227" i="1"/>
  <c r="D227" i="1"/>
  <c r="E227" i="1" a="1"/>
  <c r="E227" i="1" s="1"/>
  <c r="F227" i="1"/>
  <c r="H227" i="1" s="1"/>
  <c r="A228" i="1"/>
  <c r="B228" i="1"/>
  <c r="D228" i="1"/>
  <c r="E228" i="1" a="1"/>
  <c r="E228" i="1" s="1"/>
  <c r="F228" i="1"/>
  <c r="A229" i="1"/>
  <c r="B229" i="1"/>
  <c r="D229" i="1"/>
  <c r="E229" i="1" a="1"/>
  <c r="E229" i="1" s="1"/>
  <c r="F229" i="1"/>
  <c r="H229" i="1" s="1"/>
  <c r="A230" i="1"/>
  <c r="B230" i="1"/>
  <c r="D230" i="1"/>
  <c r="E230" i="1" a="1"/>
  <c r="E230" i="1" s="1"/>
  <c r="F230" i="1"/>
  <c r="H230" i="1" s="1"/>
  <c r="A231" i="1"/>
  <c r="B231" i="1"/>
  <c r="D231" i="1"/>
  <c r="E231" i="1" a="1"/>
  <c r="E231" i="1" s="1"/>
  <c r="F231" i="1"/>
  <c r="H231" i="1" s="1"/>
  <c r="A232" i="1"/>
  <c r="B232" i="1"/>
  <c r="D232" i="1"/>
  <c r="E232" i="1" a="1"/>
  <c r="E232" i="1" s="1"/>
  <c r="F232" i="1"/>
  <c r="A233" i="1"/>
  <c r="B233" i="1"/>
  <c r="D233" i="1"/>
  <c r="E233" i="1" a="1"/>
  <c r="E233" i="1" s="1"/>
  <c r="F233" i="1"/>
  <c r="A234" i="1"/>
  <c r="B234" i="1"/>
  <c r="D234" i="1"/>
  <c r="E234" i="1" a="1"/>
  <c r="E234" i="1" s="1"/>
  <c r="F234" i="1"/>
  <c r="A235" i="1"/>
  <c r="B235" i="1"/>
  <c r="D235" i="1"/>
  <c r="E235" i="1" a="1"/>
  <c r="E235" i="1" s="1"/>
  <c r="F235" i="1"/>
  <c r="H235" i="1" s="1"/>
  <c r="A236" i="1"/>
  <c r="B236" i="1"/>
  <c r="D236" i="1"/>
  <c r="E236" i="1" a="1"/>
  <c r="E236" i="1" s="1"/>
  <c r="F236" i="1"/>
  <c r="A237" i="1"/>
  <c r="B237" i="1"/>
  <c r="D237" i="1"/>
  <c r="E237" i="1" a="1"/>
  <c r="E237" i="1" s="1"/>
  <c r="F237" i="1"/>
  <c r="H237" i="1" s="1"/>
  <c r="A238" i="1"/>
  <c r="B238" i="1"/>
  <c r="D238" i="1"/>
  <c r="E238" i="1" a="1"/>
  <c r="E238" i="1" s="1"/>
  <c r="F238" i="1"/>
  <c r="H238" i="1" s="1"/>
  <c r="A239" i="1"/>
  <c r="B239" i="1"/>
  <c r="D239" i="1"/>
  <c r="E239" i="1" a="1"/>
  <c r="E239" i="1" s="1"/>
  <c r="F239" i="1"/>
  <c r="H239" i="1" s="1"/>
  <c r="A240" i="1"/>
  <c r="B240" i="1"/>
  <c r="D240" i="1"/>
  <c r="E240" i="1" a="1"/>
  <c r="E240" i="1" s="1"/>
  <c r="F240" i="1"/>
  <c r="A241" i="1"/>
  <c r="B241" i="1"/>
  <c r="D241" i="1"/>
  <c r="E241" i="1" a="1"/>
  <c r="E241" i="1" s="1"/>
  <c r="F241" i="1"/>
  <c r="A242" i="1"/>
  <c r="B242" i="1"/>
  <c r="D242" i="1"/>
  <c r="E242" i="1" a="1"/>
  <c r="E242" i="1" s="1"/>
  <c r="F242" i="1"/>
  <c r="A243" i="1"/>
  <c r="B243" i="1"/>
  <c r="D243" i="1"/>
  <c r="E243" i="1" a="1"/>
  <c r="E243" i="1" s="1"/>
  <c r="F243" i="1"/>
  <c r="H243" i="1" s="1"/>
  <c r="A244" i="1"/>
  <c r="B244" i="1"/>
  <c r="D244" i="1"/>
  <c r="E244" i="1" a="1"/>
  <c r="E244" i="1" s="1"/>
  <c r="F244" i="1"/>
  <c r="A245" i="1"/>
  <c r="B245" i="1"/>
  <c r="D245" i="1"/>
  <c r="E245" i="1" a="1"/>
  <c r="E245" i="1" s="1"/>
  <c r="F245" i="1"/>
  <c r="H245" i="1" s="1"/>
  <c r="A246" i="1"/>
  <c r="B246" i="1"/>
  <c r="D246" i="1"/>
  <c r="E246" i="1" a="1"/>
  <c r="E246" i="1" s="1"/>
  <c r="F246" i="1"/>
  <c r="H246" i="1" s="1"/>
  <c r="A247" i="1"/>
  <c r="B247" i="1"/>
  <c r="D247" i="1"/>
  <c r="E247" i="1" a="1"/>
  <c r="E247" i="1" s="1"/>
  <c r="F247" i="1"/>
  <c r="H247" i="1" s="1"/>
  <c r="A248" i="1"/>
  <c r="B248" i="1"/>
  <c r="D248" i="1"/>
  <c r="E248" i="1" a="1"/>
  <c r="E248" i="1" s="1"/>
  <c r="F248" i="1"/>
  <c r="A249" i="1"/>
  <c r="B249" i="1"/>
  <c r="D249" i="1"/>
  <c r="E249" i="1" a="1"/>
  <c r="E249" i="1" s="1"/>
  <c r="F249" i="1"/>
  <c r="A250" i="1"/>
  <c r="B250" i="1"/>
  <c r="D250" i="1"/>
  <c r="E250" i="1" a="1"/>
  <c r="E250" i="1" s="1"/>
  <c r="F250" i="1"/>
  <c r="A251" i="1"/>
  <c r="B251" i="1"/>
  <c r="D251" i="1"/>
  <c r="E251" i="1" a="1"/>
  <c r="E251" i="1" s="1"/>
  <c r="F251" i="1"/>
  <c r="H251" i="1" s="1"/>
  <c r="A252" i="1"/>
  <c r="B252" i="1"/>
  <c r="D252" i="1"/>
  <c r="E252" i="1" a="1"/>
  <c r="E252" i="1" s="1"/>
  <c r="F252" i="1"/>
  <c r="A253" i="1"/>
  <c r="B253" i="1"/>
  <c r="D253" i="1"/>
  <c r="E253" i="1" a="1"/>
  <c r="E253" i="1" s="1"/>
  <c r="F253" i="1"/>
  <c r="H253" i="1" s="1"/>
  <c r="A254" i="1"/>
  <c r="B254" i="1"/>
  <c r="D254" i="1"/>
  <c r="E254" i="1" a="1"/>
  <c r="E254" i="1" s="1"/>
  <c r="F254" i="1"/>
  <c r="H254" i="1" s="1"/>
  <c r="A255" i="1"/>
  <c r="B255" i="1"/>
  <c r="D255" i="1"/>
  <c r="E255" i="1" a="1"/>
  <c r="E255" i="1" s="1"/>
  <c r="F255" i="1"/>
  <c r="H255" i="1" s="1"/>
  <c r="A256" i="1"/>
  <c r="B256" i="1"/>
  <c r="D256" i="1"/>
  <c r="E256" i="1" a="1"/>
  <c r="E256" i="1" s="1"/>
  <c r="F256" i="1"/>
  <c r="A257" i="1"/>
  <c r="B257" i="1"/>
  <c r="D257" i="1"/>
  <c r="E257" i="1" a="1"/>
  <c r="E257" i="1" s="1"/>
  <c r="F257" i="1"/>
  <c r="H257" i="1" s="1"/>
  <c r="A258" i="1"/>
  <c r="B258" i="1"/>
  <c r="D258" i="1"/>
  <c r="E258" i="1" a="1"/>
  <c r="E258" i="1" s="1"/>
  <c r="F258" i="1"/>
  <c r="A259" i="1"/>
  <c r="B259" i="1"/>
  <c r="D259" i="1"/>
  <c r="E259" i="1" a="1"/>
  <c r="E259" i="1" s="1"/>
  <c r="F259" i="1"/>
  <c r="H259" i="1" s="1"/>
  <c r="A260" i="1"/>
  <c r="B260" i="1"/>
  <c r="D260" i="1"/>
  <c r="E260" i="1" a="1"/>
  <c r="E260" i="1" s="1"/>
  <c r="F260" i="1"/>
  <c r="A261" i="1"/>
  <c r="B261" i="1"/>
  <c r="D261" i="1"/>
  <c r="E261" i="1" a="1"/>
  <c r="E261" i="1" s="1"/>
  <c r="F261" i="1"/>
  <c r="H261" i="1" s="1"/>
  <c r="A262" i="1"/>
  <c r="B262" i="1"/>
  <c r="D262" i="1"/>
  <c r="E262" i="1" a="1"/>
  <c r="E262" i="1" s="1"/>
  <c r="F262" i="1"/>
  <c r="H262" i="1" s="1"/>
  <c r="A263" i="1"/>
  <c r="B263" i="1"/>
  <c r="D263" i="1"/>
  <c r="E263" i="1" a="1"/>
  <c r="E263" i="1" s="1"/>
  <c r="F263" i="1"/>
  <c r="H263" i="1" s="1"/>
  <c r="A264" i="1"/>
  <c r="B264" i="1"/>
  <c r="D264" i="1"/>
  <c r="E264" i="1" a="1"/>
  <c r="E264" i="1" s="1"/>
  <c r="F264" i="1"/>
  <c r="A265" i="1"/>
  <c r="B265" i="1"/>
  <c r="D265" i="1"/>
  <c r="E265" i="1" a="1"/>
  <c r="E265" i="1" s="1"/>
  <c r="F265" i="1"/>
  <c r="A266" i="1"/>
  <c r="B266" i="1"/>
  <c r="D266" i="1"/>
  <c r="E266" i="1" a="1"/>
  <c r="E266" i="1" s="1"/>
  <c r="F266" i="1"/>
  <c r="A267" i="1"/>
  <c r="B267" i="1"/>
  <c r="D267" i="1"/>
  <c r="E267" i="1" a="1"/>
  <c r="E267" i="1" s="1"/>
  <c r="F267" i="1"/>
  <c r="H267" i="1" s="1"/>
  <c r="A268" i="1"/>
  <c r="B268" i="1"/>
  <c r="E268" i="1" a="1"/>
  <c r="E268" i="1" s="1"/>
  <c r="F268" i="1"/>
  <c r="A269" i="1"/>
  <c r="B269" i="1"/>
  <c r="D269" i="1"/>
  <c r="E269" i="1" a="1"/>
  <c r="E269" i="1" s="1"/>
  <c r="F269" i="1"/>
  <c r="H269" i="1" s="1"/>
  <c r="A270" i="1"/>
  <c r="B270" i="1"/>
  <c r="D270" i="1"/>
  <c r="E270" i="1" a="1"/>
  <c r="E270" i="1" s="1"/>
  <c r="F270" i="1"/>
  <c r="H270" i="1" s="1"/>
  <c r="A271" i="1"/>
  <c r="B271" i="1"/>
  <c r="D271" i="1"/>
  <c r="E271" i="1" a="1"/>
  <c r="E271" i="1" s="1"/>
  <c r="F271" i="1"/>
  <c r="H271" i="1" s="1"/>
  <c r="A272" i="1"/>
  <c r="B272" i="1"/>
  <c r="D272" i="1"/>
  <c r="E272" i="1" a="1"/>
  <c r="E272" i="1" s="1"/>
  <c r="F272" i="1"/>
  <c r="A273" i="1"/>
  <c r="B273" i="1"/>
  <c r="E273" i="1" a="1"/>
  <c r="E273" i="1" s="1"/>
  <c r="F273" i="1"/>
  <c r="A274" i="1"/>
  <c r="B274" i="1"/>
  <c r="D274" i="1"/>
  <c r="E274" i="1" a="1"/>
  <c r="E274" i="1" s="1"/>
  <c r="F274" i="1"/>
  <c r="A275" i="1"/>
  <c r="B275" i="1"/>
  <c r="D275" i="1"/>
  <c r="E275" i="1" a="1"/>
  <c r="E275" i="1" s="1"/>
  <c r="F275" i="1"/>
  <c r="H275" i="1" s="1"/>
  <c r="A276" i="1"/>
  <c r="B276" i="1"/>
  <c r="D276" i="1"/>
  <c r="E276" i="1" a="1"/>
  <c r="E276" i="1" s="1"/>
  <c r="F276" i="1"/>
  <c r="A277" i="1"/>
  <c r="B277" i="1"/>
  <c r="D277" i="1"/>
  <c r="E277" i="1" a="1"/>
  <c r="E277" i="1" s="1"/>
  <c r="F277" i="1"/>
  <c r="H277" i="1" s="1"/>
  <c r="A278" i="1"/>
  <c r="B278" i="1"/>
  <c r="D278" i="1"/>
  <c r="E278" i="1" a="1"/>
  <c r="E278" i="1" s="1"/>
  <c r="F278" i="1"/>
  <c r="H278" i="1" s="1"/>
  <c r="A279" i="1"/>
  <c r="B279" i="1"/>
  <c r="E279" i="1" a="1"/>
  <c r="E279" i="1" s="1"/>
  <c r="F279" i="1"/>
  <c r="A280" i="1"/>
  <c r="B280" i="1"/>
  <c r="D280" i="1"/>
  <c r="E280" i="1" a="1"/>
  <c r="E280" i="1" s="1"/>
  <c r="F280" i="1"/>
  <c r="A281" i="1"/>
  <c r="B281" i="1"/>
  <c r="D281" i="1"/>
  <c r="E281" i="1" a="1"/>
  <c r="E281" i="1" s="1"/>
  <c r="F281" i="1"/>
  <c r="A282" i="1"/>
  <c r="B282" i="1"/>
  <c r="D282" i="1"/>
  <c r="E282" i="1" a="1"/>
  <c r="E282" i="1" s="1"/>
  <c r="F282" i="1"/>
  <c r="A283" i="1"/>
  <c r="B283" i="1"/>
  <c r="D283" i="1"/>
  <c r="E283" i="1" a="1"/>
  <c r="E283" i="1" s="1"/>
  <c r="F283" i="1"/>
  <c r="H283" i="1" s="1"/>
  <c r="A284" i="1"/>
  <c r="B284" i="1"/>
  <c r="E284" i="1" a="1"/>
  <c r="E284" i="1" s="1"/>
  <c r="F284" i="1"/>
  <c r="A285" i="1"/>
  <c r="B285" i="1"/>
  <c r="D285" i="1"/>
  <c r="E285" i="1" a="1"/>
  <c r="E285" i="1" s="1"/>
  <c r="F285" i="1"/>
  <c r="H285" i="1" s="1"/>
  <c r="A286" i="1"/>
  <c r="B286" i="1"/>
  <c r="D286" i="1"/>
  <c r="E286" i="1" a="1"/>
  <c r="E286" i="1" s="1"/>
  <c r="F286" i="1"/>
  <c r="H286" i="1" s="1"/>
  <c r="A287" i="1"/>
  <c r="B287" i="1"/>
  <c r="D287" i="1"/>
  <c r="E287" i="1" a="1"/>
  <c r="E287" i="1" s="1"/>
  <c r="F287" i="1"/>
  <c r="H287" i="1" s="1"/>
  <c r="A288" i="1"/>
  <c r="B288" i="1"/>
  <c r="D288" i="1"/>
  <c r="E288" i="1" a="1"/>
  <c r="E288" i="1" s="1"/>
  <c r="F288" i="1"/>
  <c r="A289" i="1"/>
  <c r="B289" i="1"/>
  <c r="E289" i="1" a="1"/>
  <c r="E289" i="1" s="1"/>
  <c r="F289" i="1"/>
  <c r="A290" i="1"/>
  <c r="B290" i="1"/>
  <c r="D290" i="1"/>
  <c r="E290" i="1" a="1"/>
  <c r="E290" i="1" s="1"/>
  <c r="F290" i="1"/>
  <c r="A291" i="1"/>
  <c r="B291" i="1"/>
  <c r="D291" i="1"/>
  <c r="E291" i="1" a="1"/>
  <c r="E291" i="1" s="1"/>
  <c r="F291" i="1"/>
  <c r="H291" i="1" s="1"/>
  <c r="A292" i="1"/>
  <c r="B292" i="1"/>
  <c r="D292" i="1"/>
  <c r="E292" i="1" a="1"/>
  <c r="E292" i="1" s="1"/>
  <c r="F292" i="1"/>
  <c r="A293" i="1"/>
  <c r="B293" i="1"/>
  <c r="D293" i="1"/>
  <c r="E293" i="1" a="1"/>
  <c r="E293" i="1" s="1"/>
  <c r="F293" i="1"/>
  <c r="H293" i="1" s="1"/>
  <c r="A294" i="1"/>
  <c r="B294" i="1"/>
  <c r="D294" i="1"/>
  <c r="E294" i="1" a="1"/>
  <c r="E294" i="1" s="1"/>
  <c r="F294" i="1"/>
  <c r="A295" i="1"/>
  <c r="B295" i="1"/>
  <c r="D295" i="1"/>
  <c r="E295" i="1" a="1"/>
  <c r="E295" i="1" s="1"/>
  <c r="F295" i="1"/>
  <c r="H295" i="1" s="1"/>
  <c r="A296" i="1"/>
  <c r="B296" i="1"/>
  <c r="D296" i="1"/>
  <c r="E296" i="1" a="1"/>
  <c r="E296" i="1" s="1"/>
  <c r="F296" i="1"/>
  <c r="A297" i="1"/>
  <c r="B297" i="1"/>
  <c r="D297" i="1"/>
  <c r="E297" i="1" a="1"/>
  <c r="E297" i="1" s="1"/>
  <c r="F297" i="1"/>
  <c r="A298" i="1"/>
  <c r="B298" i="1"/>
  <c r="D298" i="1"/>
  <c r="E298" i="1" a="1"/>
  <c r="E298" i="1" s="1"/>
  <c r="F298" i="1"/>
  <c r="A299" i="1"/>
  <c r="B299" i="1"/>
  <c r="D299" i="1"/>
  <c r="E299" i="1" a="1"/>
  <c r="E299" i="1" s="1"/>
  <c r="F299" i="1"/>
  <c r="H299" i="1" s="1"/>
  <c r="A300" i="1"/>
  <c r="B300" i="1"/>
  <c r="D300" i="1"/>
  <c r="E300" i="1" a="1"/>
  <c r="E300" i="1" s="1"/>
  <c r="F300" i="1"/>
  <c r="A301" i="1"/>
  <c r="B301" i="1"/>
  <c r="E301" i="1" a="1"/>
  <c r="E301" i="1" s="1"/>
  <c r="F301" i="1"/>
  <c r="A302" i="1"/>
  <c r="B302" i="1"/>
  <c r="D302" i="1"/>
  <c r="E302" i="1" a="1"/>
  <c r="E302" i="1" s="1"/>
  <c r="F302" i="1"/>
  <c r="A303" i="1"/>
  <c r="B303" i="1"/>
  <c r="D303" i="1"/>
  <c r="E303" i="1" a="1"/>
  <c r="E303" i="1" s="1"/>
  <c r="F303" i="1"/>
  <c r="H303" i="1" s="1"/>
  <c r="A304" i="1"/>
  <c r="B304" i="1"/>
  <c r="D304" i="1"/>
  <c r="E304" i="1" a="1"/>
  <c r="E304" i="1" s="1"/>
  <c r="F304" i="1"/>
  <c r="A305" i="1"/>
  <c r="B305" i="1"/>
  <c r="D305" i="1"/>
  <c r="E305" i="1" a="1"/>
  <c r="E305" i="1" s="1"/>
  <c r="F305" i="1"/>
  <c r="A306" i="1"/>
  <c r="B306" i="1"/>
  <c r="D306" i="1"/>
  <c r="E306" i="1" a="1"/>
  <c r="E306" i="1" s="1"/>
  <c r="F306" i="1"/>
  <c r="A307" i="1"/>
  <c r="B307" i="1"/>
  <c r="D307" i="1"/>
  <c r="E307" i="1" a="1"/>
  <c r="E307" i="1" s="1"/>
  <c r="F307" i="1"/>
  <c r="H307" i="1" s="1"/>
  <c r="A308" i="1"/>
  <c r="B308" i="1"/>
  <c r="D308" i="1"/>
  <c r="E308" i="1" a="1"/>
  <c r="E308" i="1" s="1"/>
  <c r="F308" i="1"/>
  <c r="A309" i="1"/>
  <c r="B309" i="1"/>
  <c r="D309" i="1"/>
  <c r="E309" i="1" a="1"/>
  <c r="E309" i="1" s="1"/>
  <c r="F309" i="1"/>
  <c r="H309" i="1" s="1"/>
  <c r="A310" i="1"/>
  <c r="B310" i="1"/>
  <c r="D310" i="1"/>
  <c r="E310" i="1" a="1"/>
  <c r="E310" i="1" s="1"/>
  <c r="F310" i="1"/>
  <c r="A311" i="1"/>
  <c r="B311" i="1"/>
  <c r="D311" i="1"/>
  <c r="E311" i="1" a="1"/>
  <c r="E311" i="1" s="1"/>
  <c r="F311" i="1"/>
  <c r="H311" i="1" s="1"/>
  <c r="A312" i="1"/>
  <c r="B312" i="1"/>
  <c r="E312" i="1" a="1"/>
  <c r="E312" i="1" s="1"/>
  <c r="F312" i="1"/>
  <c r="A313" i="1"/>
  <c r="B313" i="1"/>
  <c r="D313" i="1"/>
  <c r="E313" i="1" a="1"/>
  <c r="E313" i="1" s="1"/>
  <c r="F313" i="1"/>
  <c r="A314" i="1"/>
  <c r="B314" i="1"/>
  <c r="D314" i="1"/>
  <c r="E314" i="1" a="1"/>
  <c r="E314" i="1" s="1"/>
  <c r="F314" i="1"/>
  <c r="A315" i="1"/>
  <c r="B315" i="1"/>
  <c r="D315" i="1"/>
  <c r="E315" i="1" a="1"/>
  <c r="E315" i="1" s="1"/>
  <c r="F315" i="1"/>
  <c r="H315" i="1" s="1"/>
  <c r="A316" i="1"/>
  <c r="B316" i="1"/>
  <c r="D316" i="1"/>
  <c r="E316" i="1" a="1"/>
  <c r="E316" i="1" s="1"/>
  <c r="F316" i="1"/>
  <c r="A317" i="1"/>
  <c r="B317" i="1"/>
  <c r="D317" i="1"/>
  <c r="E317" i="1" a="1"/>
  <c r="E317" i="1" s="1"/>
  <c r="F317" i="1"/>
  <c r="A318" i="1"/>
  <c r="B318" i="1"/>
  <c r="D318" i="1"/>
  <c r="E318" i="1" a="1"/>
  <c r="E318" i="1" s="1"/>
  <c r="F318" i="1"/>
  <c r="A319" i="1"/>
  <c r="B319" i="1"/>
  <c r="D319" i="1"/>
  <c r="E319" i="1" a="1"/>
  <c r="E319" i="1" s="1"/>
  <c r="F319" i="1"/>
  <c r="A320" i="1"/>
  <c r="B320" i="1"/>
  <c r="D320" i="1"/>
  <c r="E320" i="1" a="1"/>
  <c r="E320" i="1" s="1"/>
  <c r="F320" i="1"/>
  <c r="A321" i="1"/>
  <c r="B321" i="1"/>
  <c r="E321" i="1" a="1"/>
  <c r="E321" i="1" s="1"/>
  <c r="F321" i="1"/>
  <c r="A322" i="1"/>
  <c r="B322" i="1"/>
  <c r="D322" i="1"/>
  <c r="E322" i="1" a="1"/>
  <c r="E322" i="1" s="1"/>
  <c r="F322" i="1"/>
  <c r="A323" i="1"/>
  <c r="B323" i="1"/>
  <c r="D323" i="1"/>
  <c r="E323" i="1" a="1"/>
  <c r="E323" i="1" s="1"/>
  <c r="F323" i="1"/>
  <c r="A324" i="1"/>
  <c r="B324" i="1"/>
  <c r="D324" i="1"/>
  <c r="E324" i="1" a="1"/>
  <c r="E324" i="1" s="1"/>
  <c r="F324" i="1"/>
  <c r="A325" i="1"/>
  <c r="B325" i="1"/>
  <c r="D325" i="1"/>
  <c r="E325" i="1" a="1"/>
  <c r="E325" i="1" s="1"/>
  <c r="F325" i="1"/>
  <c r="A326" i="1"/>
  <c r="B326" i="1"/>
  <c r="D326" i="1"/>
  <c r="E326" i="1" a="1"/>
  <c r="E326" i="1" s="1"/>
  <c r="F326" i="1"/>
  <c r="A327" i="1"/>
  <c r="B327" i="1"/>
  <c r="D327" i="1"/>
  <c r="E327" i="1" a="1"/>
  <c r="E327" i="1" s="1"/>
  <c r="F327" i="1"/>
  <c r="A328" i="1"/>
  <c r="B328" i="1"/>
  <c r="D328" i="1"/>
  <c r="E328" i="1" a="1"/>
  <c r="E328" i="1" s="1"/>
  <c r="F328" i="1"/>
  <c r="A329" i="1"/>
  <c r="B329" i="1"/>
  <c r="D329" i="1"/>
  <c r="E329" i="1" a="1"/>
  <c r="E329" i="1" s="1"/>
  <c r="F329" i="1"/>
  <c r="A330" i="1"/>
  <c r="B330" i="1"/>
  <c r="D330" i="1"/>
  <c r="E330" i="1" a="1"/>
  <c r="E330" i="1" s="1"/>
  <c r="F330" i="1"/>
  <c r="A331" i="1"/>
  <c r="B331" i="1"/>
  <c r="D331" i="1"/>
  <c r="E331" i="1" a="1"/>
  <c r="E331" i="1" s="1"/>
  <c r="F331" i="1"/>
  <c r="A332" i="1"/>
  <c r="B332" i="1"/>
  <c r="D332" i="1"/>
  <c r="E332" i="1" a="1"/>
  <c r="E332" i="1" s="1"/>
  <c r="F332" i="1"/>
  <c r="A333" i="1"/>
  <c r="B333" i="1"/>
  <c r="D333" i="1"/>
  <c r="E333" i="1" a="1"/>
  <c r="E333" i="1" s="1"/>
  <c r="F333" i="1"/>
  <c r="A334" i="1"/>
  <c r="B334" i="1"/>
  <c r="D334" i="1"/>
  <c r="E334" i="1" a="1"/>
  <c r="E334" i="1" s="1"/>
  <c r="F334" i="1"/>
  <c r="H334" i="1" s="1"/>
  <c r="A335" i="1"/>
  <c r="B335" i="1"/>
  <c r="D335" i="1"/>
  <c r="E335" i="1" a="1"/>
  <c r="E335" i="1" s="1"/>
  <c r="F335" i="1"/>
  <c r="A336" i="1"/>
  <c r="B336" i="1"/>
  <c r="D336" i="1"/>
  <c r="E336" i="1" a="1"/>
  <c r="E336" i="1" s="1"/>
  <c r="F336" i="1"/>
  <c r="A337" i="1"/>
  <c r="B337" i="1"/>
  <c r="D337" i="1"/>
  <c r="E337" i="1" a="1"/>
  <c r="E337" i="1" s="1"/>
  <c r="F337" i="1"/>
  <c r="A338" i="1"/>
  <c r="B338" i="1"/>
  <c r="D338" i="1"/>
  <c r="E338" i="1" a="1"/>
  <c r="E338" i="1" s="1"/>
  <c r="F338" i="1"/>
  <c r="A339" i="1"/>
  <c r="B339" i="1"/>
  <c r="D339" i="1"/>
  <c r="E339" i="1" a="1"/>
  <c r="E339" i="1" s="1"/>
  <c r="F339" i="1"/>
  <c r="A340" i="1"/>
  <c r="B340" i="1"/>
  <c r="D340" i="1"/>
  <c r="E340" i="1" a="1"/>
  <c r="E340" i="1" s="1"/>
  <c r="F340" i="1"/>
  <c r="A341" i="1"/>
  <c r="B341" i="1"/>
  <c r="D341" i="1"/>
  <c r="E341" i="1" a="1"/>
  <c r="E341" i="1" s="1"/>
  <c r="F341" i="1"/>
  <c r="A342" i="1"/>
  <c r="B342" i="1"/>
  <c r="D342" i="1"/>
  <c r="E342" i="1" a="1"/>
  <c r="E342" i="1" s="1"/>
  <c r="F342" i="1"/>
  <c r="H342" i="1" s="1"/>
  <c r="A343" i="1"/>
  <c r="B343" i="1"/>
  <c r="D343" i="1"/>
  <c r="E343" i="1" a="1"/>
  <c r="E343" i="1" s="1"/>
  <c r="F343" i="1"/>
  <c r="A344" i="1"/>
  <c r="B344" i="1"/>
  <c r="D344" i="1"/>
  <c r="E344" i="1" a="1"/>
  <c r="E344" i="1" s="1"/>
  <c r="F344" i="1"/>
  <c r="A345" i="1"/>
  <c r="B345" i="1"/>
  <c r="D345" i="1"/>
  <c r="E345" i="1" a="1"/>
  <c r="E345" i="1" s="1"/>
  <c r="F345" i="1"/>
  <c r="A346" i="1"/>
  <c r="B346" i="1"/>
  <c r="D346" i="1"/>
  <c r="E346" i="1" a="1"/>
  <c r="E346" i="1" s="1"/>
  <c r="F346" i="1"/>
  <c r="A347" i="1"/>
  <c r="B347" i="1"/>
  <c r="D347" i="1"/>
  <c r="E347" i="1" a="1"/>
  <c r="E347" i="1" s="1"/>
  <c r="F347" i="1"/>
  <c r="A348" i="1"/>
  <c r="B348" i="1"/>
  <c r="E348" i="1" a="1"/>
  <c r="E348" i="1" s="1"/>
  <c r="F348" i="1"/>
  <c r="A349" i="1"/>
  <c r="B349" i="1"/>
  <c r="D349" i="1"/>
  <c r="E349" i="1" a="1"/>
  <c r="E349" i="1" s="1"/>
  <c r="F349" i="1"/>
  <c r="A350" i="1"/>
  <c r="B350" i="1"/>
  <c r="D350" i="1"/>
  <c r="E350" i="1" a="1"/>
  <c r="E350" i="1" s="1"/>
  <c r="F350" i="1"/>
  <c r="H350" i="1" s="1"/>
  <c r="A351" i="1"/>
  <c r="B351" i="1"/>
  <c r="D351" i="1"/>
  <c r="E351" i="1" a="1"/>
  <c r="E351" i="1" s="1"/>
  <c r="F351" i="1"/>
  <c r="A352" i="1"/>
  <c r="B352" i="1"/>
  <c r="D352" i="1"/>
  <c r="E352" i="1" a="1"/>
  <c r="E352" i="1" s="1"/>
  <c r="F352" i="1"/>
  <c r="A353" i="1"/>
  <c r="B353" i="1"/>
  <c r="D353" i="1"/>
  <c r="E353" i="1" a="1"/>
  <c r="E353" i="1" s="1"/>
  <c r="F353" i="1"/>
  <c r="A354" i="1"/>
  <c r="B354" i="1"/>
  <c r="D354" i="1"/>
  <c r="E354" i="1" a="1"/>
  <c r="E354" i="1" s="1"/>
  <c r="F354" i="1"/>
  <c r="A355" i="1"/>
  <c r="B355" i="1"/>
  <c r="D355" i="1"/>
  <c r="E355" i="1" a="1"/>
  <c r="E355" i="1" s="1"/>
  <c r="F355" i="1"/>
  <c r="A356" i="1"/>
  <c r="B356" i="1"/>
  <c r="E356" i="1" a="1"/>
  <c r="E356" i="1" s="1"/>
  <c r="F356" i="1"/>
  <c r="A357" i="1"/>
  <c r="B357" i="1"/>
  <c r="D357" i="1"/>
  <c r="E357" i="1" a="1"/>
  <c r="E357" i="1" s="1"/>
  <c r="F357" i="1"/>
  <c r="A358" i="1"/>
  <c r="B358" i="1"/>
  <c r="D358" i="1"/>
  <c r="E358" i="1" a="1"/>
  <c r="E358" i="1" s="1"/>
  <c r="F358" i="1"/>
  <c r="H358" i="1" s="1"/>
  <c r="A359" i="1"/>
  <c r="B359" i="1"/>
  <c r="D359" i="1"/>
  <c r="E359" i="1" a="1"/>
  <c r="E359" i="1" s="1"/>
  <c r="F359" i="1"/>
  <c r="H359" i="1" s="1"/>
  <c r="A360" i="1"/>
  <c r="B360" i="1"/>
  <c r="D360" i="1"/>
  <c r="E360" i="1" a="1"/>
  <c r="E360" i="1" s="1"/>
  <c r="F360" i="1"/>
  <c r="A361" i="1"/>
  <c r="B361" i="1"/>
  <c r="D361" i="1"/>
  <c r="E361" i="1" a="1"/>
  <c r="E361" i="1" s="1"/>
  <c r="F361" i="1"/>
  <c r="A362" i="1"/>
  <c r="B362" i="1"/>
  <c r="D362" i="1"/>
  <c r="E362" i="1" a="1"/>
  <c r="E362" i="1" s="1"/>
  <c r="F362" i="1"/>
  <c r="A363" i="1"/>
  <c r="B363" i="1"/>
  <c r="D363" i="1"/>
  <c r="E363" i="1" a="1"/>
  <c r="E363" i="1" s="1"/>
  <c r="F363" i="1"/>
  <c r="H363" i="1" s="1"/>
  <c r="A364" i="1"/>
  <c r="B364" i="1"/>
  <c r="E364" i="1" a="1"/>
  <c r="E364" i="1" s="1"/>
  <c r="F364" i="1"/>
  <c r="A365" i="1"/>
  <c r="B365" i="1"/>
  <c r="D365" i="1"/>
  <c r="E365" i="1" a="1"/>
  <c r="E365" i="1" s="1"/>
  <c r="F365" i="1"/>
  <c r="H365" i="1" s="1"/>
  <c r="A366" i="1"/>
  <c r="B366" i="1"/>
  <c r="D366" i="1"/>
  <c r="E366" i="1" a="1"/>
  <c r="E366" i="1" s="1"/>
  <c r="F366" i="1"/>
  <c r="H366" i="1" s="1"/>
  <c r="A367" i="1"/>
  <c r="B367" i="1"/>
  <c r="D367" i="1"/>
  <c r="E367" i="1" a="1"/>
  <c r="E367" i="1" s="1"/>
  <c r="F367" i="1"/>
  <c r="H367" i="1" s="1"/>
  <c r="A368" i="1"/>
  <c r="B368" i="1"/>
  <c r="D368" i="1"/>
  <c r="E368" i="1" a="1"/>
  <c r="E368" i="1" s="1"/>
  <c r="F368" i="1"/>
  <c r="A369" i="1"/>
  <c r="B369" i="1"/>
  <c r="D369" i="1"/>
  <c r="E369" i="1" a="1"/>
  <c r="E369" i="1" s="1"/>
  <c r="F369" i="1"/>
  <c r="H369" i="1" s="1"/>
  <c r="A370" i="1"/>
  <c r="B370" i="1"/>
  <c r="D370" i="1"/>
  <c r="E370" i="1" a="1"/>
  <c r="E370" i="1" s="1"/>
  <c r="F370" i="1"/>
  <c r="A371" i="1"/>
  <c r="B371" i="1"/>
  <c r="D371" i="1"/>
  <c r="E371" i="1" a="1"/>
  <c r="E371" i="1" s="1"/>
  <c r="F371" i="1"/>
  <c r="H371" i="1" s="1"/>
  <c r="A372" i="1"/>
  <c r="B372" i="1"/>
  <c r="E372" i="1" a="1"/>
  <c r="E372" i="1" s="1"/>
  <c r="F372" i="1"/>
  <c r="A373" i="1"/>
  <c r="B373" i="1"/>
  <c r="D373" i="1"/>
  <c r="E373" i="1" a="1"/>
  <c r="E373" i="1" s="1"/>
  <c r="F373" i="1"/>
  <c r="H373" i="1" s="1"/>
  <c r="A374" i="1"/>
  <c r="B374" i="1"/>
  <c r="D374" i="1"/>
  <c r="E374" i="1" a="1"/>
  <c r="E374" i="1" s="1"/>
  <c r="F374" i="1"/>
  <c r="A375" i="1"/>
  <c r="B375" i="1"/>
  <c r="D375" i="1"/>
  <c r="E375" i="1" a="1"/>
  <c r="E375" i="1" s="1"/>
  <c r="F375" i="1"/>
  <c r="H375" i="1" s="1"/>
  <c r="A376" i="1"/>
  <c r="B376" i="1"/>
  <c r="D376" i="1"/>
  <c r="E376" i="1" a="1"/>
  <c r="E376" i="1" s="1"/>
  <c r="F376" i="1"/>
  <c r="A377" i="1"/>
  <c r="B377" i="1"/>
  <c r="D377" i="1"/>
  <c r="E377" i="1" a="1"/>
  <c r="E377" i="1" s="1"/>
  <c r="F377" i="1"/>
  <c r="A378" i="1"/>
  <c r="B378" i="1"/>
  <c r="D378" i="1"/>
  <c r="E378" i="1" a="1"/>
  <c r="E378" i="1" s="1"/>
  <c r="F378" i="1"/>
  <c r="A379" i="1"/>
  <c r="B379" i="1"/>
  <c r="D379" i="1"/>
  <c r="E379" i="1" a="1"/>
  <c r="E379" i="1" s="1"/>
  <c r="F379" i="1"/>
  <c r="H379" i="1" s="1"/>
  <c r="A380" i="1"/>
  <c r="B380" i="1"/>
  <c r="E380" i="1" a="1"/>
  <c r="E380" i="1" s="1"/>
  <c r="F380" i="1"/>
  <c r="A381" i="1"/>
  <c r="B381" i="1"/>
  <c r="D381" i="1"/>
  <c r="E381" i="1" a="1"/>
  <c r="E381" i="1" s="1"/>
  <c r="F381" i="1"/>
  <c r="H381" i="1" s="1"/>
  <c r="A382" i="1"/>
  <c r="B382" i="1"/>
  <c r="D382" i="1"/>
  <c r="E382" i="1" a="1"/>
  <c r="E382" i="1" s="1"/>
  <c r="F382" i="1"/>
  <c r="A383" i="1"/>
  <c r="B383" i="1"/>
  <c r="D383" i="1"/>
  <c r="E383" i="1" a="1"/>
  <c r="E383" i="1" s="1"/>
  <c r="F383" i="1"/>
  <c r="H383" i="1" s="1"/>
  <c r="A384" i="1"/>
  <c r="B384" i="1"/>
  <c r="D384" i="1"/>
  <c r="E384" i="1" a="1"/>
  <c r="E384" i="1" s="1"/>
  <c r="F384" i="1"/>
  <c r="A385" i="1"/>
  <c r="B385" i="1"/>
  <c r="D385" i="1"/>
  <c r="E385" i="1" a="1"/>
  <c r="E385" i="1" s="1"/>
  <c r="F385" i="1"/>
  <c r="A386" i="1"/>
  <c r="B386" i="1"/>
  <c r="D386" i="1"/>
  <c r="E386" i="1" a="1"/>
  <c r="E386" i="1" s="1"/>
  <c r="F386" i="1"/>
  <c r="H386" i="1" s="1"/>
  <c r="A387" i="1"/>
  <c r="B387" i="1"/>
  <c r="D387" i="1"/>
  <c r="E387" i="1" a="1"/>
  <c r="E387" i="1" s="1"/>
  <c r="F387" i="1"/>
  <c r="H387" i="1" s="1"/>
  <c r="A388" i="1"/>
  <c r="B388" i="1"/>
  <c r="D388" i="1"/>
  <c r="E388" i="1" a="1"/>
  <c r="E388" i="1" s="1"/>
  <c r="F388" i="1"/>
  <c r="A389" i="1"/>
  <c r="B389" i="1"/>
  <c r="D389" i="1"/>
  <c r="E389" i="1" a="1"/>
  <c r="E389" i="1" s="1"/>
  <c r="F389" i="1"/>
  <c r="H389" i="1" s="1"/>
  <c r="A390" i="1"/>
  <c r="B390" i="1"/>
  <c r="D390" i="1"/>
  <c r="E390" i="1" a="1"/>
  <c r="E390" i="1" s="1"/>
  <c r="F390" i="1"/>
  <c r="H390" i="1" s="1"/>
  <c r="A391" i="1"/>
  <c r="B391" i="1"/>
  <c r="D391" i="1"/>
  <c r="E391" i="1" a="1"/>
  <c r="E391" i="1" s="1"/>
  <c r="F391" i="1"/>
  <c r="H391" i="1" s="1"/>
  <c r="A392" i="1"/>
  <c r="B392" i="1"/>
  <c r="D392" i="1"/>
  <c r="E392" i="1" a="1"/>
  <c r="E392" i="1" s="1"/>
  <c r="F392" i="1"/>
  <c r="A393" i="1"/>
  <c r="B393" i="1"/>
  <c r="D393" i="1"/>
  <c r="E393" i="1" a="1"/>
  <c r="E393" i="1" s="1"/>
  <c r="F393" i="1"/>
  <c r="A394" i="1"/>
  <c r="B394" i="1"/>
  <c r="D394" i="1"/>
  <c r="E394" i="1" a="1"/>
  <c r="E394" i="1" s="1"/>
  <c r="F394" i="1"/>
  <c r="A395" i="1"/>
  <c r="B395" i="1"/>
  <c r="D395" i="1"/>
  <c r="E395" i="1" a="1"/>
  <c r="E395" i="1" s="1"/>
  <c r="F395" i="1"/>
  <c r="H395" i="1" s="1"/>
  <c r="A396" i="1"/>
  <c r="B396" i="1"/>
  <c r="D396" i="1"/>
  <c r="E396" i="1" a="1"/>
  <c r="E396" i="1" s="1"/>
  <c r="F396" i="1"/>
  <c r="A397" i="1"/>
  <c r="B397" i="1"/>
  <c r="D397" i="1"/>
  <c r="E397" i="1" a="1"/>
  <c r="E397" i="1" s="1"/>
  <c r="F397" i="1"/>
  <c r="H397" i="1" s="1"/>
  <c r="A398" i="1"/>
  <c r="B398" i="1"/>
  <c r="D398" i="1"/>
  <c r="E398" i="1" a="1"/>
  <c r="E398" i="1" s="1"/>
  <c r="F398" i="1"/>
  <c r="H398" i="1" s="1"/>
  <c r="A399" i="1"/>
  <c r="B399" i="1"/>
  <c r="D399" i="1"/>
  <c r="E399" i="1" a="1"/>
  <c r="E399" i="1" s="1"/>
  <c r="F399" i="1"/>
  <c r="H399" i="1" s="1"/>
  <c r="A400" i="1"/>
  <c r="B400" i="1"/>
  <c r="D400" i="1"/>
  <c r="E400" i="1" a="1"/>
  <c r="E400" i="1" s="1"/>
  <c r="F400" i="1"/>
  <c r="A401" i="1"/>
  <c r="B401" i="1"/>
  <c r="D401" i="1"/>
  <c r="E401" i="1" a="1"/>
  <c r="E401" i="1" s="1"/>
  <c r="F401" i="1"/>
  <c r="A402" i="1"/>
  <c r="B402" i="1"/>
  <c r="D402" i="1"/>
  <c r="E402" i="1" a="1"/>
  <c r="E402" i="1" s="1"/>
  <c r="F402" i="1"/>
  <c r="H402" i="1" s="1"/>
  <c r="A403" i="1"/>
  <c r="B403" i="1"/>
  <c r="D403" i="1"/>
  <c r="E403" i="1" a="1"/>
  <c r="E403" i="1" s="1"/>
  <c r="F403" i="1"/>
  <c r="H403" i="1" s="1"/>
  <c r="A404" i="1"/>
  <c r="B404" i="1"/>
  <c r="D404" i="1"/>
  <c r="E404" i="1" a="1"/>
  <c r="E404" i="1" s="1"/>
  <c r="F404" i="1"/>
  <c r="H404" i="1" s="1"/>
  <c r="A405" i="1"/>
  <c r="B405" i="1"/>
  <c r="D405" i="1"/>
  <c r="E405" i="1" a="1"/>
  <c r="E405" i="1" s="1"/>
  <c r="F405" i="1"/>
  <c r="H405" i="1" s="1"/>
  <c r="A406" i="1"/>
  <c r="B406" i="1"/>
  <c r="D406" i="1"/>
  <c r="E406" i="1" a="1"/>
  <c r="E406" i="1" s="1"/>
  <c r="F406" i="1"/>
  <c r="A407" i="1"/>
  <c r="B407" i="1"/>
  <c r="D407" i="1"/>
  <c r="E407" i="1" a="1"/>
  <c r="E407" i="1" s="1"/>
  <c r="F407" i="1"/>
  <c r="H407" i="1" s="1"/>
  <c r="A408" i="1"/>
  <c r="B408" i="1"/>
  <c r="D408" i="1"/>
  <c r="E408" i="1" a="1"/>
  <c r="E408" i="1" s="1"/>
  <c r="F408" i="1"/>
  <c r="A409" i="1"/>
  <c r="B409" i="1"/>
  <c r="D409" i="1"/>
  <c r="E409" i="1" a="1"/>
  <c r="E409" i="1" s="1"/>
  <c r="F409" i="1"/>
  <c r="A410" i="1"/>
  <c r="B410" i="1"/>
  <c r="D410" i="1"/>
  <c r="E410" i="1" a="1"/>
  <c r="E410" i="1" s="1"/>
  <c r="F410" i="1"/>
  <c r="A411" i="1"/>
  <c r="B411" i="1"/>
  <c r="D411" i="1"/>
  <c r="E411" i="1" a="1"/>
  <c r="E411" i="1" s="1"/>
  <c r="F411" i="1"/>
  <c r="A412" i="1"/>
  <c r="B412" i="1"/>
  <c r="D412" i="1"/>
  <c r="E412" i="1" a="1"/>
  <c r="E412" i="1" s="1"/>
  <c r="F412" i="1"/>
  <c r="H412" i="1" s="1"/>
  <c r="A413" i="1"/>
  <c r="B413" i="1"/>
  <c r="D413" i="1"/>
  <c r="E413" i="1" a="1"/>
  <c r="E413" i="1" s="1"/>
  <c r="F413" i="1"/>
  <c r="H413" i="1" s="1"/>
  <c r="A414" i="1"/>
  <c r="B414" i="1"/>
  <c r="D414" i="1"/>
  <c r="E414" i="1" a="1"/>
  <c r="E414" i="1" s="1"/>
  <c r="F414" i="1"/>
  <c r="A415" i="1"/>
  <c r="B415" i="1"/>
  <c r="D415" i="1"/>
  <c r="E415" i="1" a="1"/>
  <c r="E415" i="1" s="1"/>
  <c r="F415" i="1"/>
  <c r="H415" i="1" s="1"/>
  <c r="A416" i="1"/>
  <c r="B416" i="1"/>
  <c r="D416" i="1"/>
  <c r="E416" i="1" a="1"/>
  <c r="E416" i="1" s="1"/>
  <c r="F416" i="1"/>
  <c r="A417" i="1"/>
  <c r="B417" i="1"/>
  <c r="D417" i="1"/>
  <c r="E417" i="1" a="1"/>
  <c r="E417" i="1" s="1"/>
  <c r="F417" i="1"/>
  <c r="A418" i="1"/>
  <c r="B418" i="1"/>
  <c r="D418" i="1"/>
  <c r="E418" i="1" a="1"/>
  <c r="E418" i="1" s="1"/>
  <c r="F418" i="1"/>
  <c r="A419" i="1"/>
  <c r="B419" i="1"/>
  <c r="D419" i="1"/>
  <c r="E419" i="1" a="1"/>
  <c r="E419" i="1" s="1"/>
  <c r="F419" i="1"/>
  <c r="A420" i="1"/>
  <c r="B420" i="1"/>
  <c r="D420" i="1"/>
  <c r="E420" i="1" a="1"/>
  <c r="E420" i="1" s="1"/>
  <c r="F420" i="1"/>
  <c r="H420" i="1" s="1"/>
  <c r="A421" i="1"/>
  <c r="B421" i="1"/>
  <c r="D421" i="1"/>
  <c r="E421" i="1" a="1"/>
  <c r="E421" i="1" s="1"/>
  <c r="F421" i="1"/>
  <c r="A422" i="1"/>
  <c r="B422" i="1"/>
  <c r="D422" i="1"/>
  <c r="E422" i="1" a="1"/>
  <c r="E422" i="1" s="1"/>
  <c r="F422" i="1"/>
  <c r="A423" i="1"/>
  <c r="B423" i="1"/>
  <c r="D423" i="1"/>
  <c r="E423" i="1" a="1"/>
  <c r="E423" i="1" s="1"/>
  <c r="F423" i="1"/>
  <c r="H423" i="1" s="1"/>
  <c r="A424" i="1"/>
  <c r="B424" i="1"/>
  <c r="D424" i="1"/>
  <c r="E424" i="1" a="1"/>
  <c r="E424" i="1" s="1"/>
  <c r="F424" i="1"/>
  <c r="A425" i="1"/>
  <c r="B425" i="1"/>
  <c r="D425" i="1"/>
  <c r="E425" i="1" a="1"/>
  <c r="E425" i="1" s="1"/>
  <c r="F425" i="1"/>
  <c r="A426" i="1"/>
  <c r="B426" i="1"/>
  <c r="D426" i="1"/>
  <c r="E426" i="1" a="1"/>
  <c r="E426" i="1" s="1"/>
  <c r="F426" i="1"/>
  <c r="A427" i="1"/>
  <c r="B427" i="1"/>
  <c r="D427" i="1"/>
  <c r="E427" i="1" a="1"/>
  <c r="E427" i="1" s="1"/>
  <c r="F427" i="1"/>
  <c r="H427" i="1" s="1"/>
  <c r="A428" i="1"/>
  <c r="B428" i="1"/>
  <c r="D428" i="1"/>
  <c r="E428" i="1" a="1"/>
  <c r="E428" i="1" s="1"/>
  <c r="F428" i="1"/>
  <c r="H428" i="1" s="1"/>
  <c r="A429" i="1"/>
  <c r="B429" i="1"/>
  <c r="D429" i="1"/>
  <c r="E429" i="1" a="1"/>
  <c r="E429" i="1" s="1"/>
  <c r="F429" i="1"/>
  <c r="A430" i="1"/>
  <c r="B430" i="1"/>
  <c r="E430" i="1" a="1"/>
  <c r="E430" i="1" s="1"/>
  <c r="F430" i="1"/>
  <c r="A431" i="1"/>
  <c r="B431" i="1"/>
  <c r="D431" i="1"/>
  <c r="E431" i="1" a="1"/>
  <c r="E431" i="1" s="1"/>
  <c r="F431" i="1"/>
  <c r="A432" i="1"/>
  <c r="B432" i="1"/>
  <c r="D432" i="1"/>
  <c r="E432" i="1" a="1"/>
  <c r="E432" i="1" s="1"/>
  <c r="F432" i="1"/>
  <c r="A433" i="1"/>
  <c r="B433" i="1"/>
  <c r="D433" i="1"/>
  <c r="E433" i="1" a="1"/>
  <c r="E433" i="1" s="1"/>
  <c r="F433" i="1"/>
  <c r="A434" i="1"/>
  <c r="B434" i="1"/>
  <c r="D434" i="1"/>
  <c r="E434" i="1" a="1"/>
  <c r="E434" i="1" s="1"/>
  <c r="F434" i="1"/>
  <c r="A435" i="1"/>
  <c r="B435" i="1"/>
  <c r="E435" i="1" a="1"/>
  <c r="E435" i="1" s="1"/>
  <c r="F435" i="1"/>
  <c r="A436" i="1"/>
  <c r="B436" i="1"/>
  <c r="D436" i="1"/>
  <c r="E436" i="1" a="1"/>
  <c r="E436" i="1" s="1"/>
  <c r="F436" i="1"/>
  <c r="H436" i="1" s="1"/>
  <c r="A437" i="1"/>
  <c r="B437" i="1"/>
  <c r="D437" i="1"/>
  <c r="E437" i="1" a="1"/>
  <c r="E437" i="1" s="1"/>
  <c r="F437" i="1"/>
  <c r="A438" i="1"/>
  <c r="B438" i="1"/>
  <c r="D438" i="1"/>
  <c r="E438" i="1" a="1"/>
  <c r="E438" i="1" s="1"/>
  <c r="F438" i="1"/>
  <c r="A439" i="1"/>
  <c r="B439" i="1"/>
  <c r="D439" i="1"/>
  <c r="E439" i="1" a="1"/>
  <c r="E439" i="1" s="1"/>
  <c r="F439" i="1"/>
  <c r="H439" i="1" s="1"/>
  <c r="A440" i="1"/>
  <c r="B440" i="1"/>
  <c r="D440" i="1"/>
  <c r="E440" i="1" a="1"/>
  <c r="E440" i="1" s="1"/>
  <c r="F440" i="1"/>
  <c r="A441" i="1"/>
  <c r="B441" i="1"/>
  <c r="D441" i="1"/>
  <c r="E441" i="1" a="1"/>
  <c r="E441" i="1" s="1"/>
  <c r="F441" i="1"/>
  <c r="A442" i="1"/>
  <c r="B442" i="1"/>
  <c r="D442" i="1"/>
  <c r="E442" i="1" a="1"/>
  <c r="E442" i="1" s="1"/>
  <c r="F442" i="1"/>
  <c r="A443" i="1"/>
  <c r="B443" i="1"/>
  <c r="D443" i="1"/>
  <c r="E443" i="1" a="1"/>
  <c r="E443" i="1" s="1"/>
  <c r="F443" i="1"/>
  <c r="A444" i="1"/>
  <c r="B444" i="1"/>
  <c r="D444" i="1"/>
  <c r="E444" i="1" a="1"/>
  <c r="E444" i="1" s="1"/>
  <c r="F444" i="1"/>
  <c r="H444" i="1" s="1"/>
  <c r="A445" i="1"/>
  <c r="B445" i="1"/>
  <c r="D445" i="1"/>
  <c r="E445" i="1" a="1"/>
  <c r="E445" i="1" s="1"/>
  <c r="F445" i="1"/>
  <c r="H445" i="1" s="1"/>
  <c r="A446" i="1"/>
  <c r="B446" i="1"/>
  <c r="D446" i="1"/>
  <c r="E446" i="1" a="1"/>
  <c r="E446" i="1" s="1"/>
  <c r="F446" i="1"/>
  <c r="A447" i="1"/>
  <c r="B447" i="1"/>
  <c r="D447" i="1"/>
  <c r="E447" i="1" a="1"/>
  <c r="E447" i="1" s="1"/>
  <c r="F447" i="1"/>
  <c r="H447" i="1" s="1"/>
  <c r="A448" i="1"/>
  <c r="B448" i="1"/>
  <c r="D448" i="1"/>
  <c r="E448" i="1" a="1"/>
  <c r="E448" i="1" s="1"/>
  <c r="F448" i="1"/>
  <c r="A449" i="1"/>
  <c r="B449" i="1"/>
  <c r="D449" i="1"/>
  <c r="E449" i="1" a="1"/>
  <c r="E449" i="1" s="1"/>
  <c r="F449" i="1"/>
  <c r="A450" i="1"/>
  <c r="B450" i="1"/>
  <c r="D450" i="1"/>
  <c r="E450" i="1" a="1"/>
  <c r="E450" i="1" s="1"/>
  <c r="F450" i="1"/>
  <c r="A451" i="1"/>
  <c r="B451" i="1"/>
  <c r="D451" i="1"/>
  <c r="E451" i="1" a="1"/>
  <c r="E451" i="1" s="1"/>
  <c r="F451" i="1"/>
  <c r="H451" i="1" s="1"/>
  <c r="A452" i="1"/>
  <c r="B452" i="1"/>
  <c r="D452" i="1"/>
  <c r="E452" i="1" a="1"/>
  <c r="E452" i="1" s="1"/>
  <c r="F452" i="1"/>
  <c r="H452" i="1" s="1"/>
  <c r="A453" i="1"/>
  <c r="B453" i="1"/>
  <c r="D453" i="1"/>
  <c r="E453" i="1" a="1"/>
  <c r="E453" i="1" s="1"/>
  <c r="F453" i="1"/>
  <c r="H453" i="1" s="1"/>
  <c r="A454" i="1"/>
  <c r="B454" i="1"/>
  <c r="D454" i="1"/>
  <c r="E454" i="1" a="1"/>
  <c r="E454" i="1" s="1"/>
  <c r="F454" i="1"/>
  <c r="A455" i="1"/>
  <c r="B455" i="1"/>
  <c r="D455" i="1"/>
  <c r="E455" i="1" a="1"/>
  <c r="E455" i="1" s="1"/>
  <c r="F455" i="1"/>
  <c r="A456" i="1"/>
  <c r="B456" i="1"/>
  <c r="D456" i="1"/>
  <c r="E456" i="1" a="1"/>
  <c r="E456" i="1" s="1"/>
  <c r="F456" i="1"/>
  <c r="A457" i="1"/>
  <c r="B457" i="1"/>
  <c r="D457" i="1"/>
  <c r="E457" i="1" a="1"/>
  <c r="E457" i="1" s="1"/>
  <c r="F457" i="1"/>
  <c r="A458" i="1"/>
  <c r="B458" i="1"/>
  <c r="D458" i="1"/>
  <c r="E458" i="1" a="1"/>
  <c r="E458" i="1" s="1"/>
  <c r="F458" i="1"/>
  <c r="A459" i="1"/>
  <c r="B459" i="1"/>
  <c r="D459" i="1"/>
  <c r="E459" i="1" a="1"/>
  <c r="E459" i="1" s="1"/>
  <c r="F459" i="1"/>
  <c r="A460" i="1"/>
  <c r="B460" i="1"/>
  <c r="D460" i="1"/>
  <c r="E460" i="1" a="1"/>
  <c r="E460" i="1" s="1"/>
  <c r="F460" i="1"/>
  <c r="H460" i="1" s="1"/>
  <c r="A461" i="1"/>
  <c r="B461" i="1"/>
  <c r="D461" i="1"/>
  <c r="E461" i="1" a="1"/>
  <c r="E461" i="1" s="1"/>
  <c r="F461" i="1"/>
  <c r="A462" i="1"/>
  <c r="B462" i="1"/>
  <c r="D462" i="1"/>
  <c r="E462" i="1" a="1"/>
  <c r="E462" i="1" s="1"/>
  <c r="F462" i="1"/>
  <c r="A463" i="1"/>
  <c r="B463" i="1"/>
  <c r="D463" i="1"/>
  <c r="E463" i="1" a="1"/>
  <c r="E463" i="1" s="1"/>
  <c r="F463" i="1"/>
  <c r="H463" i="1" s="1"/>
  <c r="A464" i="1"/>
  <c r="B464" i="1"/>
  <c r="D464" i="1"/>
  <c r="E464" i="1" a="1"/>
  <c r="E464" i="1" s="1"/>
  <c r="F464" i="1"/>
  <c r="A465" i="1"/>
  <c r="B465" i="1"/>
  <c r="D465" i="1"/>
  <c r="E465" i="1" a="1"/>
  <c r="E465" i="1" s="1"/>
  <c r="F465" i="1"/>
  <c r="A466" i="1"/>
  <c r="B466" i="1"/>
  <c r="D466" i="1"/>
  <c r="E466" i="1" a="1"/>
  <c r="E466" i="1" s="1"/>
  <c r="F466" i="1"/>
  <c r="A467" i="1"/>
  <c r="B467" i="1"/>
  <c r="D467" i="1"/>
  <c r="E467" i="1" a="1"/>
  <c r="E467" i="1" s="1"/>
  <c r="F467" i="1"/>
  <c r="H467" i="1" s="1"/>
  <c r="A468" i="1"/>
  <c r="B468" i="1"/>
  <c r="D468" i="1"/>
  <c r="E468" i="1" a="1"/>
  <c r="E468" i="1" s="1"/>
  <c r="F468" i="1"/>
  <c r="A469" i="1"/>
  <c r="B469" i="1"/>
  <c r="D469" i="1"/>
  <c r="E469" i="1" a="1"/>
  <c r="E469" i="1" s="1"/>
  <c r="F469" i="1"/>
  <c r="H469" i="1" s="1"/>
  <c r="A470" i="1"/>
  <c r="B470" i="1"/>
  <c r="D470" i="1"/>
  <c r="E470" i="1" a="1"/>
  <c r="E470" i="1" s="1"/>
  <c r="F470" i="1"/>
  <c r="A471" i="1"/>
  <c r="B471" i="1"/>
  <c r="D471" i="1"/>
  <c r="E471" i="1" a="1"/>
  <c r="E471" i="1" s="1"/>
  <c r="F471" i="1"/>
  <c r="H471" i="1" s="1"/>
  <c r="A472" i="1"/>
  <c r="B472" i="1"/>
  <c r="D472" i="1"/>
  <c r="E472" i="1" a="1"/>
  <c r="E472" i="1" s="1"/>
  <c r="F472" i="1"/>
  <c r="A473" i="1"/>
  <c r="B473" i="1"/>
  <c r="D473" i="1"/>
  <c r="E473" i="1" a="1"/>
  <c r="E473" i="1" s="1"/>
  <c r="F473" i="1"/>
  <c r="A474" i="1"/>
  <c r="B474" i="1"/>
  <c r="D474" i="1"/>
  <c r="E474" i="1" a="1"/>
  <c r="E474" i="1" s="1"/>
  <c r="F474" i="1"/>
  <c r="A475" i="1"/>
  <c r="B475" i="1"/>
  <c r="D475" i="1"/>
  <c r="E475" i="1" a="1"/>
  <c r="E475" i="1" s="1"/>
  <c r="F475" i="1"/>
  <c r="H475" i="1" s="1"/>
  <c r="A476" i="1"/>
  <c r="B476" i="1"/>
  <c r="D476" i="1"/>
  <c r="E476" i="1" a="1"/>
  <c r="E476" i="1" s="1"/>
  <c r="F476" i="1"/>
  <c r="A477" i="1"/>
  <c r="B477" i="1"/>
  <c r="D477" i="1"/>
  <c r="E477" i="1" a="1"/>
  <c r="E477" i="1" s="1"/>
  <c r="F477" i="1"/>
  <c r="H477" i="1" s="1"/>
  <c r="A478" i="1"/>
  <c r="B478" i="1"/>
  <c r="D478" i="1"/>
  <c r="E478" i="1" a="1"/>
  <c r="E478" i="1" s="1"/>
  <c r="F478" i="1"/>
  <c r="A479" i="1"/>
  <c r="B479" i="1"/>
  <c r="D479" i="1"/>
  <c r="E479" i="1" a="1"/>
  <c r="E479" i="1" s="1"/>
  <c r="F479" i="1"/>
  <c r="H479" i="1" s="1"/>
  <c r="A480" i="1"/>
  <c r="B480" i="1"/>
  <c r="D480" i="1"/>
  <c r="E480" i="1" a="1"/>
  <c r="E480" i="1" s="1"/>
  <c r="F480" i="1"/>
  <c r="A481" i="1"/>
  <c r="B481" i="1"/>
  <c r="D481" i="1"/>
  <c r="E481" i="1" a="1"/>
  <c r="E481" i="1" s="1"/>
  <c r="F481" i="1"/>
  <c r="A482" i="1"/>
  <c r="B482" i="1"/>
  <c r="D482" i="1"/>
  <c r="E482" i="1" a="1"/>
  <c r="E482" i="1" s="1"/>
  <c r="F482" i="1"/>
  <c r="A483" i="1"/>
  <c r="B483" i="1"/>
  <c r="D483" i="1"/>
  <c r="E483" i="1" a="1"/>
  <c r="E483" i="1" s="1"/>
  <c r="F483" i="1"/>
  <c r="H483" i="1" s="1"/>
  <c r="A484" i="1"/>
  <c r="B484" i="1"/>
  <c r="D484" i="1"/>
  <c r="E484" i="1" a="1"/>
  <c r="E484" i="1" s="1"/>
  <c r="F484" i="1"/>
  <c r="A485" i="1"/>
  <c r="B485" i="1"/>
  <c r="D485" i="1"/>
  <c r="E485" i="1" a="1"/>
  <c r="E485" i="1" s="1"/>
  <c r="F485" i="1"/>
  <c r="H485" i="1" s="1"/>
  <c r="A486" i="1"/>
  <c r="B486" i="1"/>
  <c r="D486" i="1"/>
  <c r="E486" i="1" a="1"/>
  <c r="E486" i="1" s="1"/>
  <c r="F486" i="1"/>
  <c r="H486" i="1"/>
  <c r="A487" i="1"/>
  <c r="B487" i="1"/>
  <c r="D487" i="1"/>
  <c r="E487" i="1" a="1"/>
  <c r="E487" i="1" s="1"/>
  <c r="F487" i="1"/>
  <c r="H487" i="1" s="1"/>
  <c r="A488" i="1"/>
  <c r="B488" i="1"/>
  <c r="D488" i="1"/>
  <c r="E488" i="1" a="1"/>
  <c r="E488" i="1" s="1"/>
  <c r="F488" i="1"/>
  <c r="A489" i="1"/>
  <c r="B489" i="1"/>
  <c r="D489" i="1"/>
  <c r="E489" i="1" a="1"/>
  <c r="E489" i="1" s="1"/>
  <c r="F489" i="1"/>
  <c r="A490" i="1"/>
  <c r="B490" i="1"/>
  <c r="D490" i="1"/>
  <c r="E490" i="1" a="1"/>
  <c r="E490" i="1" s="1"/>
  <c r="F490" i="1"/>
  <c r="A491" i="1"/>
  <c r="B491" i="1"/>
  <c r="D491" i="1"/>
  <c r="E491" i="1" a="1"/>
  <c r="E491" i="1" s="1"/>
  <c r="F491" i="1"/>
  <c r="H491" i="1" s="1"/>
  <c r="A492" i="1"/>
  <c r="B492" i="1"/>
  <c r="D492" i="1"/>
  <c r="E492" i="1" a="1"/>
  <c r="E492" i="1" s="1"/>
  <c r="F492" i="1"/>
  <c r="A493" i="1"/>
  <c r="B493" i="1"/>
  <c r="D493" i="1"/>
  <c r="E493" i="1" a="1"/>
  <c r="E493" i="1" s="1"/>
  <c r="F493" i="1"/>
  <c r="H493" i="1" s="1"/>
  <c r="A494" i="1"/>
  <c r="B494" i="1"/>
  <c r="E494" i="1" a="1"/>
  <c r="E494" i="1" s="1"/>
  <c r="F494" i="1"/>
  <c r="A495" i="1"/>
  <c r="B495" i="1"/>
  <c r="D495" i="1"/>
  <c r="E495" i="1" a="1"/>
  <c r="E495" i="1" s="1"/>
  <c r="F495" i="1"/>
  <c r="H495" i="1" s="1"/>
  <c r="A496" i="1"/>
  <c r="B496" i="1"/>
  <c r="D496" i="1"/>
  <c r="E496" i="1" a="1"/>
  <c r="E496" i="1" s="1"/>
  <c r="F496" i="1"/>
  <c r="A497" i="1"/>
  <c r="B497" i="1"/>
  <c r="D497" i="1"/>
  <c r="E497" i="1" a="1"/>
  <c r="E497" i="1" s="1"/>
  <c r="F497" i="1"/>
  <c r="A498" i="1"/>
  <c r="B498" i="1"/>
  <c r="D498" i="1"/>
  <c r="E498" i="1" a="1"/>
  <c r="E498" i="1" s="1"/>
  <c r="F498" i="1"/>
  <c r="A499" i="1"/>
  <c r="B499" i="1"/>
  <c r="E499" i="1" a="1"/>
  <c r="E499" i="1" s="1"/>
  <c r="F499" i="1"/>
  <c r="A500" i="1"/>
  <c r="B500" i="1"/>
  <c r="D500" i="1"/>
  <c r="E500" i="1" a="1"/>
  <c r="E500" i="1" s="1"/>
  <c r="F500" i="1"/>
  <c r="A501" i="1"/>
  <c r="B501" i="1"/>
  <c r="D501" i="1"/>
  <c r="E501" i="1" a="1"/>
  <c r="E501" i="1" s="1"/>
  <c r="F501" i="1"/>
  <c r="H501" i="1" s="1"/>
  <c r="A502" i="1"/>
  <c r="B502" i="1"/>
  <c r="D502" i="1"/>
  <c r="E502" i="1" a="1"/>
  <c r="E502" i="1" s="1"/>
  <c r="F502" i="1"/>
  <c r="A503" i="1"/>
  <c r="B503" i="1"/>
  <c r="D503" i="1"/>
  <c r="E503" i="1" a="1"/>
  <c r="E503" i="1" s="1"/>
  <c r="F503" i="1"/>
  <c r="H503" i="1" s="1"/>
  <c r="A504" i="1"/>
  <c r="B504" i="1"/>
  <c r="D504" i="1"/>
  <c r="E504" i="1" a="1"/>
  <c r="E504" i="1" s="1"/>
  <c r="F504" i="1"/>
  <c r="A505" i="1"/>
  <c r="B505" i="1"/>
  <c r="D505" i="1"/>
  <c r="E505" i="1" a="1"/>
  <c r="E505" i="1" s="1"/>
  <c r="F505" i="1"/>
  <c r="H505" i="1" s="1"/>
  <c r="A506" i="1"/>
  <c r="B506" i="1"/>
  <c r="D506" i="1"/>
  <c r="E506" i="1" a="1"/>
  <c r="E506" i="1" s="1"/>
  <c r="F506" i="1"/>
  <c r="A507" i="1"/>
  <c r="B507" i="1"/>
  <c r="D507" i="1"/>
  <c r="E507" i="1" a="1"/>
  <c r="E507" i="1" s="1"/>
  <c r="F507" i="1"/>
  <c r="H507" i="1" s="1"/>
  <c r="A508" i="1"/>
  <c r="B508" i="1"/>
  <c r="D508" i="1"/>
  <c r="E508" i="1" a="1"/>
  <c r="E508" i="1" s="1"/>
  <c r="F508" i="1"/>
  <c r="A509" i="1"/>
  <c r="B509" i="1"/>
  <c r="D509" i="1"/>
  <c r="E509" i="1" a="1"/>
  <c r="E509" i="1" s="1"/>
  <c r="F509" i="1"/>
  <c r="H509" i="1" s="1"/>
  <c r="A510" i="1"/>
  <c r="B510" i="1"/>
  <c r="D510" i="1"/>
  <c r="E510" i="1" a="1"/>
  <c r="E510" i="1" s="1"/>
  <c r="F510" i="1"/>
  <c r="A511" i="1"/>
  <c r="B511" i="1"/>
  <c r="D511" i="1"/>
  <c r="E511" i="1" a="1"/>
  <c r="E511" i="1" s="1"/>
  <c r="F511" i="1"/>
  <c r="H511" i="1" s="1"/>
  <c r="A512" i="1"/>
  <c r="B512" i="1"/>
  <c r="D512" i="1"/>
  <c r="E512" i="1" a="1"/>
  <c r="E512" i="1" s="1"/>
  <c r="F512" i="1"/>
  <c r="A513" i="1"/>
  <c r="B513" i="1"/>
  <c r="D513" i="1"/>
  <c r="E513" i="1" a="1"/>
  <c r="E513" i="1" s="1"/>
  <c r="F513" i="1"/>
  <c r="H513" i="1" s="1"/>
  <c r="A514" i="1"/>
  <c r="B514" i="1"/>
  <c r="D514" i="1"/>
  <c r="E514" i="1" a="1"/>
  <c r="E514" i="1" s="1"/>
  <c r="F514" i="1"/>
  <c r="A515" i="1"/>
  <c r="B515" i="1"/>
  <c r="D515" i="1"/>
  <c r="E515" i="1" a="1"/>
  <c r="E515" i="1" s="1"/>
  <c r="F515" i="1"/>
  <c r="H515" i="1" s="1"/>
  <c r="A516" i="1"/>
  <c r="B516" i="1"/>
  <c r="D516" i="1"/>
  <c r="E516" i="1" a="1"/>
  <c r="E516" i="1" s="1"/>
  <c r="F516" i="1"/>
  <c r="A517" i="1"/>
  <c r="B517" i="1"/>
  <c r="E517" i="1" a="1"/>
  <c r="E517" i="1" s="1"/>
  <c r="F517" i="1"/>
  <c r="A518" i="1"/>
  <c r="B518" i="1"/>
  <c r="D518" i="1"/>
  <c r="E518" i="1" a="1"/>
  <c r="E518" i="1" s="1"/>
  <c r="F518" i="1"/>
  <c r="A519" i="1"/>
  <c r="B519" i="1"/>
  <c r="D519" i="1"/>
  <c r="E519" i="1" a="1"/>
  <c r="E519" i="1" s="1"/>
  <c r="F519" i="1"/>
  <c r="H519" i="1" s="1"/>
  <c r="A520" i="1"/>
  <c r="B520" i="1"/>
  <c r="D520" i="1"/>
  <c r="E520" i="1" a="1"/>
  <c r="E520" i="1" s="1"/>
  <c r="F520" i="1"/>
  <c r="A521" i="1"/>
  <c r="B521" i="1"/>
  <c r="D521" i="1"/>
  <c r="E521" i="1" a="1"/>
  <c r="E521" i="1" s="1"/>
  <c r="F521" i="1"/>
  <c r="A522" i="1"/>
  <c r="B522" i="1"/>
  <c r="E522" i="1" a="1"/>
  <c r="E522" i="1" s="1"/>
  <c r="F522" i="1"/>
  <c r="A523" i="1"/>
  <c r="B523" i="1"/>
  <c r="D523" i="1"/>
  <c r="E523" i="1" a="1"/>
  <c r="E523" i="1" s="1"/>
  <c r="F523" i="1"/>
  <c r="H523" i="1" s="1"/>
  <c r="A524" i="1"/>
  <c r="B524" i="1"/>
  <c r="D524" i="1"/>
  <c r="E524" i="1" a="1"/>
  <c r="E524" i="1" s="1"/>
  <c r="F524" i="1"/>
  <c r="A525" i="1"/>
  <c r="B525" i="1"/>
  <c r="D525" i="1"/>
  <c r="E525" i="1" a="1"/>
  <c r="E525" i="1" s="1"/>
  <c r="F525" i="1"/>
  <c r="H525" i="1" s="1"/>
  <c r="A526" i="1"/>
  <c r="B526" i="1"/>
  <c r="D526" i="1"/>
  <c r="E526" i="1" a="1"/>
  <c r="E526" i="1" s="1"/>
  <c r="F526" i="1"/>
  <c r="H526" i="1" s="1"/>
  <c r="A527" i="1"/>
  <c r="B527" i="1"/>
  <c r="D527" i="1"/>
  <c r="E527" i="1" a="1"/>
  <c r="E527" i="1" s="1"/>
  <c r="F527" i="1"/>
  <c r="H527" i="1" s="1"/>
  <c r="A528" i="1"/>
  <c r="B528" i="1"/>
  <c r="D528" i="1"/>
  <c r="E528" i="1" a="1"/>
  <c r="E528" i="1" s="1"/>
  <c r="F528" i="1"/>
  <c r="A529" i="1"/>
  <c r="B529" i="1"/>
  <c r="D529" i="1"/>
  <c r="E529" i="1" a="1"/>
  <c r="E529" i="1" s="1"/>
  <c r="F529" i="1"/>
  <c r="H529" i="1" s="1"/>
  <c r="A530" i="1"/>
  <c r="B530" i="1"/>
  <c r="D530" i="1"/>
  <c r="E530" i="1" a="1"/>
  <c r="E530" i="1" s="1"/>
  <c r="F530" i="1"/>
  <c r="A531" i="1"/>
  <c r="B531" i="1"/>
  <c r="D531" i="1"/>
  <c r="E531" i="1" a="1"/>
  <c r="E531" i="1" s="1"/>
  <c r="F531" i="1"/>
  <c r="A532" i="1"/>
  <c r="B532" i="1"/>
  <c r="D532" i="1"/>
  <c r="E532" i="1" a="1"/>
  <c r="E532" i="1" s="1"/>
  <c r="F532" i="1"/>
  <c r="A533" i="1"/>
  <c r="B533" i="1"/>
  <c r="D533" i="1"/>
  <c r="E533" i="1" a="1"/>
  <c r="E533" i="1" s="1"/>
  <c r="F533" i="1"/>
  <c r="H533" i="1" s="1"/>
  <c r="A534" i="1"/>
  <c r="B534" i="1"/>
  <c r="E534" i="1" a="1"/>
  <c r="E534" i="1" s="1"/>
  <c r="F534" i="1"/>
  <c r="A535" i="1"/>
  <c r="B535" i="1"/>
  <c r="D535" i="1"/>
  <c r="E535" i="1" a="1"/>
  <c r="E535" i="1" s="1"/>
  <c r="F535" i="1"/>
  <c r="H535" i="1" s="1"/>
  <c r="A536" i="1"/>
  <c r="B536" i="1"/>
  <c r="D536" i="1"/>
  <c r="E536" i="1" a="1"/>
  <c r="E536" i="1" s="1"/>
  <c r="F536" i="1"/>
  <c r="A537" i="1"/>
  <c r="B537" i="1"/>
  <c r="D537" i="1"/>
  <c r="E537" i="1" a="1"/>
  <c r="E537" i="1" s="1"/>
  <c r="F537" i="1"/>
  <c r="A538" i="1"/>
  <c r="B538" i="1"/>
  <c r="D538" i="1"/>
  <c r="E538" i="1" a="1"/>
  <c r="E538" i="1" s="1"/>
  <c r="F538" i="1"/>
  <c r="A539" i="1"/>
  <c r="B539" i="1"/>
  <c r="E539" i="1" a="1"/>
  <c r="E539" i="1" s="1"/>
  <c r="F539" i="1"/>
  <c r="A540" i="1"/>
  <c r="B540" i="1"/>
  <c r="D540" i="1"/>
  <c r="E540" i="1" a="1"/>
  <c r="E540" i="1" s="1"/>
  <c r="F540" i="1"/>
  <c r="A541" i="1"/>
  <c r="B541" i="1"/>
  <c r="D541" i="1"/>
  <c r="E541" i="1" a="1"/>
  <c r="E541" i="1" s="1"/>
  <c r="F541" i="1"/>
  <c r="H541" i="1" s="1"/>
  <c r="A542" i="1"/>
  <c r="B542" i="1"/>
  <c r="D542" i="1"/>
  <c r="E542" i="1" a="1"/>
  <c r="E542" i="1" s="1"/>
  <c r="F542" i="1"/>
  <c r="A543" i="1"/>
  <c r="B543" i="1"/>
  <c r="D543" i="1"/>
  <c r="E543" i="1" a="1"/>
  <c r="E543" i="1" s="1"/>
  <c r="F543" i="1"/>
  <c r="H543" i="1"/>
  <c r="A544" i="1"/>
  <c r="B544" i="1"/>
  <c r="E544" i="1" a="1"/>
  <c r="E544" i="1" s="1"/>
  <c r="F544" i="1"/>
  <c r="A545" i="1"/>
  <c r="B545" i="1"/>
  <c r="D545" i="1"/>
  <c r="E545" i="1" a="1"/>
  <c r="E545" i="1" s="1"/>
  <c r="F545" i="1"/>
  <c r="A546" i="1"/>
  <c r="B546" i="1"/>
  <c r="D546" i="1"/>
  <c r="E546" i="1" a="1"/>
  <c r="E546" i="1" s="1"/>
  <c r="F546" i="1"/>
  <c r="A547" i="1"/>
  <c r="B547" i="1"/>
  <c r="D547" i="1"/>
  <c r="E547" i="1" a="1"/>
  <c r="E547" i="1" s="1"/>
  <c r="F547" i="1"/>
  <c r="A548" i="1"/>
  <c r="B548" i="1"/>
  <c r="D548" i="1"/>
  <c r="E548" i="1" a="1"/>
  <c r="E548" i="1" s="1"/>
  <c r="F548" i="1"/>
  <c r="A549" i="1"/>
  <c r="B549" i="1"/>
  <c r="D549" i="1"/>
  <c r="E549" i="1" a="1"/>
  <c r="E549" i="1" s="1"/>
  <c r="F549" i="1"/>
  <c r="H549" i="1" s="1"/>
  <c r="A550" i="1"/>
  <c r="B550" i="1"/>
  <c r="D550" i="1"/>
  <c r="E550" i="1" a="1"/>
  <c r="E550" i="1" s="1"/>
  <c r="F550" i="1"/>
  <c r="A551" i="1"/>
  <c r="B551" i="1"/>
  <c r="D551" i="1"/>
  <c r="E551" i="1" a="1"/>
  <c r="E551" i="1" s="1"/>
  <c r="F551" i="1"/>
  <c r="H551" i="1" s="1"/>
  <c r="A552" i="1"/>
  <c r="B552" i="1"/>
  <c r="D552" i="1"/>
  <c r="E552" i="1" a="1"/>
  <c r="E552" i="1" s="1"/>
  <c r="F552" i="1"/>
  <c r="A553" i="1"/>
  <c r="B553" i="1"/>
  <c r="E553" i="1" a="1"/>
  <c r="E553" i="1" s="1"/>
  <c r="F553" i="1"/>
  <c r="A554" i="1"/>
  <c r="B554" i="1"/>
  <c r="D554" i="1"/>
  <c r="E554" i="1" a="1"/>
  <c r="E554" i="1" s="1"/>
  <c r="F554" i="1"/>
  <c r="A555" i="1"/>
  <c r="B555" i="1"/>
  <c r="D555" i="1"/>
  <c r="E555" i="1" a="1"/>
  <c r="E555" i="1" s="1"/>
  <c r="F555" i="1"/>
  <c r="A556" i="1"/>
  <c r="B556" i="1"/>
  <c r="D556" i="1"/>
  <c r="E556" i="1" a="1"/>
  <c r="E556" i="1" s="1"/>
  <c r="F556" i="1"/>
  <c r="A557" i="1"/>
  <c r="B557" i="1"/>
  <c r="D557" i="1"/>
  <c r="E557" i="1" a="1"/>
  <c r="E557" i="1" s="1"/>
  <c r="F557" i="1"/>
  <c r="H557" i="1" s="1"/>
  <c r="A558" i="1"/>
  <c r="B558" i="1"/>
  <c r="D558" i="1"/>
  <c r="E558" i="1" a="1"/>
  <c r="E558" i="1" s="1"/>
  <c r="F558" i="1"/>
  <c r="A559" i="1"/>
  <c r="B559" i="1"/>
  <c r="D559" i="1"/>
  <c r="E559" i="1" a="1"/>
  <c r="E559" i="1" s="1"/>
  <c r="F559" i="1"/>
  <c r="H559" i="1" s="1"/>
  <c r="A560" i="1"/>
  <c r="B560" i="1"/>
  <c r="D560" i="1"/>
  <c r="E560" i="1" a="1"/>
  <c r="E560" i="1" s="1"/>
  <c r="F560" i="1"/>
  <c r="A561" i="1"/>
  <c r="B561" i="1"/>
  <c r="D561" i="1"/>
  <c r="E561" i="1" a="1"/>
  <c r="E561" i="1" s="1"/>
  <c r="F561" i="1"/>
  <c r="A562" i="1"/>
  <c r="B562" i="1"/>
  <c r="D562" i="1"/>
  <c r="E562" i="1" a="1"/>
  <c r="E562" i="1" s="1"/>
  <c r="F562" i="1"/>
  <c r="A563" i="1"/>
  <c r="B563" i="1"/>
  <c r="E563" i="1" a="1"/>
  <c r="E563" i="1" s="1"/>
  <c r="F563" i="1"/>
  <c r="A564" i="1"/>
  <c r="B564" i="1"/>
  <c r="D564" i="1"/>
  <c r="E564" i="1" a="1"/>
  <c r="E564" i="1" s="1"/>
  <c r="F564" i="1"/>
  <c r="A565" i="1"/>
  <c r="B565" i="1"/>
  <c r="D565" i="1"/>
  <c r="E565" i="1" a="1"/>
  <c r="E565" i="1" s="1"/>
  <c r="F565" i="1"/>
  <c r="H565" i="1" s="1"/>
  <c r="A566" i="1"/>
  <c r="B566" i="1"/>
  <c r="D566" i="1"/>
  <c r="E566" i="1" a="1"/>
  <c r="E566" i="1" s="1"/>
  <c r="F566" i="1"/>
  <c r="A567" i="1"/>
  <c r="B567" i="1"/>
  <c r="D567" i="1"/>
  <c r="E567" i="1" a="1"/>
  <c r="E567" i="1" s="1"/>
  <c r="F567" i="1"/>
  <c r="A568" i="1"/>
  <c r="B568" i="1"/>
  <c r="D568" i="1"/>
  <c r="E568" i="1" a="1"/>
  <c r="E568" i="1" s="1"/>
  <c r="F568" i="1"/>
  <c r="A569" i="1"/>
  <c r="B569" i="1"/>
  <c r="D569" i="1"/>
  <c r="E569" i="1" a="1"/>
  <c r="E569" i="1" s="1"/>
  <c r="F569" i="1"/>
  <c r="H569" i="1" s="1"/>
  <c r="A570" i="1"/>
  <c r="B570" i="1"/>
  <c r="D570" i="1"/>
  <c r="E570" i="1" a="1"/>
  <c r="E570" i="1" s="1"/>
  <c r="F570" i="1"/>
  <c r="A571" i="1"/>
  <c r="B571" i="1"/>
  <c r="D571" i="1"/>
  <c r="E571" i="1" a="1"/>
  <c r="E571" i="1" s="1"/>
  <c r="F571" i="1"/>
  <c r="H571" i="1" s="1"/>
  <c r="A572" i="1"/>
  <c r="B572" i="1"/>
  <c r="D572" i="1"/>
  <c r="E572" i="1" a="1"/>
  <c r="E572" i="1" s="1"/>
  <c r="F572" i="1"/>
  <c r="H572" i="1" s="1"/>
  <c r="A573" i="1"/>
  <c r="B573" i="1"/>
  <c r="D573" i="1"/>
  <c r="E573" i="1" a="1"/>
  <c r="E573" i="1" s="1"/>
  <c r="F573" i="1"/>
  <c r="A574" i="1"/>
  <c r="B574" i="1"/>
  <c r="D574" i="1"/>
  <c r="E574" i="1" a="1"/>
  <c r="E574" i="1" s="1"/>
  <c r="F574" i="1"/>
  <c r="A575" i="1"/>
  <c r="B575" i="1"/>
  <c r="D575" i="1"/>
  <c r="E575" i="1" a="1"/>
  <c r="E575" i="1" s="1"/>
  <c r="F575" i="1"/>
  <c r="A576" i="1"/>
  <c r="B576" i="1"/>
  <c r="D576" i="1"/>
  <c r="E576" i="1" a="1"/>
  <c r="E576" i="1" s="1"/>
  <c r="F576" i="1"/>
  <c r="A577" i="1"/>
  <c r="B577" i="1"/>
  <c r="D577" i="1"/>
  <c r="E577" i="1" a="1"/>
  <c r="E577" i="1" s="1"/>
  <c r="F577" i="1"/>
  <c r="A578" i="1"/>
  <c r="B578" i="1"/>
  <c r="D578" i="1"/>
  <c r="E578" i="1" a="1"/>
  <c r="E578" i="1" s="1"/>
  <c r="F578" i="1"/>
  <c r="H578" i="1" s="1"/>
  <c r="A579" i="1"/>
  <c r="B579" i="1"/>
  <c r="D579" i="1"/>
  <c r="E579" i="1" a="1"/>
  <c r="E579" i="1" s="1"/>
  <c r="F579" i="1"/>
  <c r="A580" i="1"/>
  <c r="B580" i="1"/>
  <c r="D580" i="1"/>
  <c r="E580" i="1" a="1"/>
  <c r="E580" i="1" s="1"/>
  <c r="F580" i="1"/>
  <c r="H580" i="1" s="1"/>
  <c r="A581" i="1"/>
  <c r="B581" i="1"/>
  <c r="D581" i="1"/>
  <c r="E581" i="1" a="1"/>
  <c r="E581" i="1" s="1"/>
  <c r="F581" i="1"/>
  <c r="A582" i="1"/>
  <c r="B582" i="1"/>
  <c r="D582" i="1"/>
  <c r="E582" i="1" a="1"/>
  <c r="E582" i="1" s="1"/>
  <c r="F582" i="1"/>
  <c r="A583" i="1"/>
  <c r="B583" i="1"/>
  <c r="D583" i="1"/>
  <c r="E583" i="1" a="1"/>
  <c r="E583" i="1" s="1"/>
  <c r="F583" i="1"/>
  <c r="A584" i="1"/>
  <c r="B584" i="1"/>
  <c r="E584" i="1" a="1"/>
  <c r="E584" i="1" s="1"/>
  <c r="F584" i="1"/>
  <c r="A585" i="1"/>
  <c r="B585" i="1"/>
  <c r="D585" i="1"/>
  <c r="E585" i="1" a="1"/>
  <c r="E585" i="1" s="1"/>
  <c r="F585" i="1"/>
  <c r="A586" i="1"/>
  <c r="B586" i="1"/>
  <c r="D586" i="1"/>
  <c r="E586" i="1" a="1"/>
  <c r="E586" i="1" s="1"/>
  <c r="F586" i="1"/>
  <c r="A587" i="1"/>
  <c r="B587" i="1"/>
  <c r="D587" i="1"/>
  <c r="E587" i="1" a="1"/>
  <c r="E587" i="1" s="1"/>
  <c r="F587" i="1"/>
  <c r="A588" i="1"/>
  <c r="B588" i="1"/>
  <c r="D588" i="1"/>
  <c r="E588" i="1" a="1"/>
  <c r="E588" i="1" s="1"/>
  <c r="F588" i="1"/>
  <c r="H588" i="1" s="1"/>
  <c r="A589" i="1"/>
  <c r="B589" i="1"/>
  <c r="D589" i="1"/>
  <c r="E589" i="1" a="1"/>
  <c r="E589" i="1" s="1"/>
  <c r="F589" i="1"/>
  <c r="A590" i="1"/>
  <c r="B590" i="1"/>
  <c r="D590" i="1"/>
  <c r="E590" i="1" a="1"/>
  <c r="E590" i="1" s="1"/>
  <c r="F590" i="1"/>
  <c r="A591" i="1"/>
  <c r="B591" i="1"/>
  <c r="D591" i="1"/>
  <c r="E591" i="1" a="1"/>
  <c r="E591" i="1" s="1"/>
  <c r="F591" i="1"/>
  <c r="A592" i="1"/>
  <c r="B592" i="1"/>
  <c r="D592" i="1"/>
  <c r="E592" i="1" a="1"/>
  <c r="E592" i="1" s="1"/>
  <c r="F592" i="1"/>
  <c r="H592" i="1" s="1"/>
  <c r="A593" i="1"/>
  <c r="B593" i="1"/>
  <c r="D593" i="1"/>
  <c r="E593" i="1" a="1"/>
  <c r="E593" i="1" s="1"/>
  <c r="F593" i="1"/>
  <c r="A594" i="1"/>
  <c r="B594" i="1"/>
  <c r="D594" i="1"/>
  <c r="E594" i="1" a="1"/>
  <c r="E594" i="1" s="1"/>
  <c r="F594" i="1"/>
  <c r="A595" i="1"/>
  <c r="B595" i="1"/>
  <c r="D595" i="1"/>
  <c r="E595" i="1" a="1"/>
  <c r="E595" i="1" s="1"/>
  <c r="F595" i="1"/>
  <c r="A596" i="1"/>
  <c r="B596" i="1"/>
  <c r="D596" i="1"/>
  <c r="E596" i="1" a="1"/>
  <c r="E596" i="1" s="1"/>
  <c r="F596" i="1"/>
  <c r="A597" i="1"/>
  <c r="B597" i="1"/>
  <c r="D597" i="1"/>
  <c r="E597" i="1" a="1"/>
  <c r="E597" i="1" s="1"/>
  <c r="F597" i="1"/>
  <c r="A598" i="1"/>
  <c r="B598" i="1"/>
  <c r="D598" i="1"/>
  <c r="E598" i="1" a="1"/>
  <c r="E598" i="1" s="1"/>
  <c r="F598" i="1"/>
  <c r="H598" i="1" s="1"/>
  <c r="A599" i="1"/>
  <c r="B599" i="1"/>
  <c r="D599" i="1"/>
  <c r="E599" i="1" a="1"/>
  <c r="E599" i="1" s="1"/>
  <c r="F599" i="1"/>
  <c r="A600" i="1"/>
  <c r="B600" i="1"/>
  <c r="D600" i="1"/>
  <c r="E600" i="1" a="1"/>
  <c r="E600" i="1" s="1"/>
  <c r="F600" i="1"/>
  <c r="H600" i="1" s="1"/>
  <c r="A601" i="1"/>
  <c r="B601" i="1"/>
  <c r="D601" i="1"/>
  <c r="E601" i="1" a="1"/>
  <c r="E601" i="1" s="1"/>
  <c r="F601" i="1"/>
  <c r="A602" i="1"/>
  <c r="B602" i="1"/>
  <c r="D602" i="1"/>
  <c r="E602" i="1" a="1"/>
  <c r="E602" i="1" s="1"/>
  <c r="F602" i="1"/>
  <c r="A603" i="1"/>
  <c r="B603" i="1"/>
  <c r="D603" i="1"/>
  <c r="E603" i="1" a="1"/>
  <c r="E603" i="1" s="1"/>
  <c r="F603" i="1"/>
  <c r="A604" i="1"/>
  <c r="B604" i="1"/>
  <c r="D604" i="1"/>
  <c r="E604" i="1" a="1"/>
  <c r="E604" i="1" s="1"/>
  <c r="F604" i="1"/>
  <c r="H604" i="1" s="1"/>
  <c r="A605" i="1"/>
  <c r="B605" i="1"/>
  <c r="D605" i="1"/>
  <c r="E605" i="1" a="1"/>
  <c r="E605" i="1" s="1"/>
  <c r="F605" i="1"/>
  <c r="A606" i="1"/>
  <c r="B606" i="1"/>
  <c r="D606" i="1"/>
  <c r="E606" i="1" a="1"/>
  <c r="E606" i="1" s="1"/>
  <c r="F606" i="1"/>
  <c r="H606" i="1" s="1"/>
  <c r="A607" i="1"/>
  <c r="B607" i="1"/>
  <c r="D607" i="1"/>
  <c r="E607" i="1" a="1"/>
  <c r="E607" i="1" s="1"/>
  <c r="F607" i="1"/>
  <c r="A608" i="1"/>
  <c r="B608" i="1"/>
  <c r="D608" i="1"/>
  <c r="E608" i="1" a="1"/>
  <c r="E608" i="1" s="1"/>
  <c r="F608" i="1"/>
  <c r="A609" i="1"/>
  <c r="B609" i="1"/>
  <c r="D609" i="1"/>
  <c r="E609" i="1" a="1"/>
  <c r="E609" i="1" s="1"/>
  <c r="F609" i="1"/>
  <c r="A610" i="1"/>
  <c r="B610" i="1"/>
  <c r="D610" i="1"/>
  <c r="E610" i="1" a="1"/>
  <c r="E610" i="1" s="1"/>
  <c r="F610" i="1"/>
  <c r="A611" i="1"/>
  <c r="B611" i="1"/>
  <c r="E611" i="1" a="1"/>
  <c r="E611" i="1" s="1"/>
  <c r="F611" i="1"/>
  <c r="A612" i="1"/>
  <c r="B612" i="1"/>
  <c r="D612" i="1"/>
  <c r="E612" i="1" a="1"/>
  <c r="E612" i="1" s="1"/>
  <c r="F612" i="1"/>
  <c r="H612" i="1" s="1"/>
  <c r="A613" i="1"/>
  <c r="B613" i="1"/>
  <c r="D613" i="1"/>
  <c r="E613" i="1" a="1"/>
  <c r="E613" i="1" s="1"/>
  <c r="F613" i="1"/>
  <c r="A614" i="1"/>
  <c r="B614" i="1"/>
  <c r="D614" i="1"/>
  <c r="E614" i="1" a="1"/>
  <c r="E614" i="1" s="1"/>
  <c r="F614" i="1"/>
  <c r="H614" i="1" s="1"/>
  <c r="A615" i="1"/>
  <c r="B615" i="1"/>
  <c r="D615" i="1"/>
  <c r="E615" i="1" a="1"/>
  <c r="E615" i="1" s="1"/>
  <c r="F615" i="1"/>
  <c r="A616" i="1"/>
  <c r="B616" i="1"/>
  <c r="E616" i="1" a="1"/>
  <c r="E616" i="1" s="1"/>
  <c r="F616" i="1"/>
  <c r="A617" i="1"/>
  <c r="B617" i="1"/>
  <c r="D617" i="1"/>
  <c r="E617" i="1" a="1"/>
  <c r="E617" i="1" s="1"/>
  <c r="F617" i="1"/>
  <c r="A618" i="1"/>
  <c r="B618" i="1"/>
  <c r="D618" i="1"/>
  <c r="E618" i="1" a="1"/>
  <c r="E618" i="1" s="1"/>
  <c r="F618" i="1"/>
  <c r="H618" i="1" s="1"/>
  <c r="A619" i="1"/>
  <c r="B619" i="1"/>
  <c r="D619" i="1"/>
  <c r="E619" i="1" a="1"/>
  <c r="E619" i="1" s="1"/>
  <c r="F619" i="1"/>
  <c r="A620" i="1"/>
  <c r="B620" i="1"/>
  <c r="D620" i="1"/>
  <c r="E620" i="1" a="1"/>
  <c r="E620" i="1" s="1"/>
  <c r="F620" i="1"/>
  <c r="H620" i="1" s="1"/>
  <c r="A621" i="1"/>
  <c r="B621" i="1"/>
  <c r="E621" i="1" a="1"/>
  <c r="E621" i="1" s="1"/>
  <c r="F621" i="1"/>
  <c r="A622" i="1"/>
  <c r="B622" i="1"/>
  <c r="D622" i="1"/>
  <c r="E622" i="1" a="1"/>
  <c r="E622" i="1" s="1"/>
  <c r="F622" i="1"/>
  <c r="A623" i="1"/>
  <c r="B623" i="1"/>
  <c r="D623" i="1"/>
  <c r="E623" i="1" a="1"/>
  <c r="E623" i="1" s="1"/>
  <c r="F623" i="1"/>
  <c r="H623" i="1" s="1"/>
  <c r="A624" i="1"/>
  <c r="B624" i="1"/>
  <c r="D624" i="1"/>
  <c r="E624" i="1" a="1"/>
  <c r="E624" i="1" s="1"/>
  <c r="F624" i="1"/>
  <c r="A625" i="1"/>
  <c r="B625" i="1"/>
  <c r="D625" i="1"/>
  <c r="E625" i="1" a="1"/>
  <c r="E625" i="1" s="1"/>
  <c r="F625" i="1"/>
  <c r="A626" i="1"/>
  <c r="B626" i="1"/>
  <c r="D626" i="1"/>
  <c r="E626" i="1" a="1"/>
  <c r="E626" i="1" s="1"/>
  <c r="F626" i="1"/>
  <c r="A627" i="1"/>
  <c r="B627" i="1"/>
  <c r="D627" i="1"/>
  <c r="E627" i="1" a="1"/>
  <c r="E627" i="1" s="1"/>
  <c r="F627" i="1"/>
  <c r="H627" i="1" s="1"/>
  <c r="A628" i="1"/>
  <c r="B628" i="1"/>
  <c r="D628" i="1"/>
  <c r="E628" i="1" a="1"/>
  <c r="E628" i="1" s="1"/>
  <c r="F628" i="1"/>
  <c r="H628" i="1" s="1"/>
  <c r="A629" i="1"/>
  <c r="B629" i="1"/>
  <c r="D629" i="1"/>
  <c r="E629" i="1" a="1"/>
  <c r="E629" i="1" s="1"/>
  <c r="F629" i="1"/>
  <c r="H629" i="1" s="1"/>
  <c r="A630" i="1"/>
  <c r="B630" i="1"/>
  <c r="D630" i="1"/>
  <c r="E630" i="1" a="1"/>
  <c r="E630" i="1" s="1"/>
  <c r="F630" i="1"/>
  <c r="A631" i="1"/>
  <c r="B631" i="1"/>
  <c r="D631" i="1"/>
  <c r="E631" i="1" a="1"/>
  <c r="E631" i="1" s="1"/>
  <c r="F631" i="1"/>
  <c r="A632" i="1"/>
  <c r="B632" i="1"/>
  <c r="D632" i="1"/>
  <c r="E632" i="1" a="1"/>
  <c r="E632" i="1" s="1"/>
  <c r="F632" i="1"/>
  <c r="A633" i="1"/>
  <c r="B633" i="1"/>
  <c r="D633" i="1"/>
  <c r="E633" i="1" a="1"/>
  <c r="E633" i="1" s="1"/>
  <c r="F633" i="1"/>
  <c r="A634" i="1"/>
  <c r="B634" i="1"/>
  <c r="D634" i="1"/>
  <c r="E634" i="1" a="1"/>
  <c r="E634" i="1" s="1"/>
  <c r="F634" i="1"/>
  <c r="A635" i="1"/>
  <c r="B635" i="1"/>
  <c r="E635" i="1" a="1"/>
  <c r="E635" i="1" s="1"/>
  <c r="F635" i="1"/>
  <c r="A636" i="1"/>
  <c r="B636" i="1"/>
  <c r="D636" i="1"/>
  <c r="E636" i="1" a="1"/>
  <c r="E636" i="1" s="1"/>
  <c r="F636" i="1"/>
  <c r="A637" i="1"/>
  <c r="B637" i="1"/>
  <c r="D637" i="1"/>
  <c r="E637" i="1" a="1"/>
  <c r="E637" i="1" s="1"/>
  <c r="F637" i="1"/>
  <c r="H637" i="1" s="1"/>
  <c r="A638" i="1"/>
  <c r="B638" i="1"/>
  <c r="D638" i="1"/>
  <c r="E638" i="1" a="1"/>
  <c r="E638" i="1" s="1"/>
  <c r="F638" i="1"/>
  <c r="A639" i="1"/>
  <c r="B639" i="1"/>
  <c r="D639" i="1"/>
  <c r="E639" i="1" a="1"/>
  <c r="E639" i="1" s="1"/>
  <c r="F639" i="1"/>
  <c r="A640" i="1"/>
  <c r="B640" i="1"/>
  <c r="E640" i="1" a="1"/>
  <c r="E640" i="1" s="1"/>
  <c r="F640" i="1"/>
  <c r="A641" i="1"/>
  <c r="B641" i="1"/>
  <c r="D641" i="1"/>
  <c r="E641" i="1" a="1"/>
  <c r="E641" i="1" s="1"/>
  <c r="F641" i="1"/>
  <c r="A642" i="1"/>
  <c r="B642" i="1"/>
  <c r="D642" i="1"/>
  <c r="E642" i="1" a="1"/>
  <c r="E642" i="1" s="1"/>
  <c r="F642" i="1"/>
  <c r="A643" i="1"/>
  <c r="B643" i="1"/>
  <c r="D643" i="1"/>
  <c r="E643" i="1" a="1"/>
  <c r="E643" i="1" s="1"/>
  <c r="F643" i="1"/>
  <c r="H643" i="1" s="1"/>
  <c r="A644" i="1"/>
  <c r="B644" i="1"/>
  <c r="D644" i="1"/>
  <c r="E644" i="1" a="1"/>
  <c r="E644" i="1" s="1"/>
  <c r="F644" i="1"/>
  <c r="H644" i="1" s="1"/>
  <c r="A645" i="1"/>
  <c r="B645" i="1"/>
  <c r="E645" i="1" a="1"/>
  <c r="E645" i="1" s="1"/>
  <c r="F645" i="1"/>
  <c r="A646" i="1"/>
  <c r="B646" i="1"/>
  <c r="D646" i="1"/>
  <c r="E646" i="1" a="1"/>
  <c r="E646" i="1" s="1"/>
  <c r="F646" i="1"/>
  <c r="A647" i="1"/>
  <c r="B647" i="1"/>
  <c r="D647" i="1"/>
  <c r="E647" i="1" a="1"/>
  <c r="E647" i="1" s="1"/>
  <c r="F647" i="1"/>
  <c r="H647" i="1" s="1"/>
  <c r="A648" i="1"/>
  <c r="B648" i="1"/>
  <c r="E648" i="1" a="1"/>
  <c r="E648" i="1" s="1"/>
  <c r="F648" i="1"/>
  <c r="A649" i="1"/>
  <c r="B649" i="1"/>
  <c r="D649" i="1"/>
  <c r="E649" i="1" a="1"/>
  <c r="E649" i="1" s="1"/>
  <c r="F649" i="1"/>
  <c r="A650" i="1"/>
  <c r="B650" i="1"/>
  <c r="D650" i="1"/>
  <c r="E650" i="1" a="1"/>
  <c r="E650" i="1" s="1"/>
  <c r="F650" i="1"/>
  <c r="A651" i="1"/>
  <c r="B651" i="1"/>
  <c r="D651" i="1"/>
  <c r="E651" i="1" a="1"/>
  <c r="E651" i="1" s="1"/>
  <c r="F651" i="1"/>
  <c r="H651" i="1" s="1"/>
  <c r="A652" i="1"/>
  <c r="B652" i="1"/>
  <c r="D652" i="1"/>
  <c r="E652" i="1" a="1"/>
  <c r="E652" i="1" s="1"/>
  <c r="F652" i="1"/>
  <c r="A653" i="1"/>
  <c r="B653" i="1"/>
  <c r="D653" i="1"/>
  <c r="E653" i="1" a="1"/>
  <c r="E653" i="1" s="1"/>
  <c r="F653" i="1"/>
  <c r="H653" i="1" s="1"/>
  <c r="A654" i="1"/>
  <c r="B654" i="1"/>
  <c r="D654" i="1"/>
  <c r="E654" i="1" a="1"/>
  <c r="E654" i="1" s="1"/>
  <c r="F654" i="1"/>
  <c r="A655" i="1"/>
  <c r="B655" i="1"/>
  <c r="D655" i="1"/>
  <c r="E655" i="1" a="1"/>
  <c r="E655" i="1" s="1"/>
  <c r="F655" i="1"/>
  <c r="H655" i="1" s="1"/>
  <c r="A656" i="1"/>
  <c r="B656" i="1"/>
  <c r="D656" i="1"/>
  <c r="E656" i="1" a="1"/>
  <c r="E656" i="1" s="1"/>
  <c r="F656" i="1"/>
  <c r="A657" i="1"/>
  <c r="B657" i="1"/>
  <c r="E657" i="1" a="1"/>
  <c r="E657" i="1" s="1"/>
  <c r="F657" i="1"/>
  <c r="A658" i="1"/>
  <c r="B658" i="1"/>
  <c r="D658" i="1"/>
  <c r="E658" i="1" a="1"/>
  <c r="E658" i="1" s="1"/>
  <c r="F658" i="1"/>
  <c r="A659" i="1"/>
  <c r="B659" i="1"/>
  <c r="D659" i="1"/>
  <c r="E659" i="1" a="1"/>
  <c r="E659" i="1" s="1"/>
  <c r="F659" i="1"/>
  <c r="H659" i="1" s="1"/>
  <c r="A660" i="1"/>
  <c r="B660" i="1"/>
  <c r="D660" i="1"/>
  <c r="E660" i="1" a="1"/>
  <c r="E660" i="1" s="1"/>
  <c r="F660" i="1"/>
  <c r="H660" i="1" s="1"/>
  <c r="A661" i="1"/>
  <c r="B661" i="1"/>
  <c r="D661" i="1"/>
  <c r="E661" i="1" a="1"/>
  <c r="E661" i="1" s="1"/>
  <c r="F661" i="1"/>
  <c r="H661" i="1" s="1"/>
  <c r="A662" i="1"/>
  <c r="B662" i="1"/>
  <c r="D662" i="1"/>
  <c r="E662" i="1" a="1"/>
  <c r="E662" i="1" s="1"/>
  <c r="F662" i="1"/>
  <c r="A663" i="1"/>
  <c r="B663" i="1"/>
  <c r="D663" i="1"/>
  <c r="E663" i="1" a="1"/>
  <c r="E663" i="1" s="1"/>
  <c r="F663" i="1"/>
  <c r="A664" i="1"/>
  <c r="B664" i="1"/>
  <c r="D664" i="1"/>
  <c r="E664" i="1" a="1"/>
  <c r="E664" i="1" s="1"/>
  <c r="F664" i="1"/>
  <c r="A665" i="1"/>
  <c r="B665" i="1"/>
  <c r="D665" i="1"/>
  <c r="E665" i="1" a="1"/>
  <c r="E665" i="1" s="1"/>
  <c r="F665" i="1"/>
  <c r="A666" i="1"/>
  <c r="B666" i="1"/>
  <c r="D666" i="1"/>
  <c r="E666" i="1" a="1"/>
  <c r="E666" i="1" s="1"/>
  <c r="F666" i="1"/>
  <c r="A667" i="1"/>
  <c r="B667" i="1"/>
  <c r="E667" i="1" a="1"/>
  <c r="E667" i="1" s="1"/>
  <c r="F667" i="1"/>
  <c r="A668" i="1"/>
  <c r="B668" i="1"/>
  <c r="D668" i="1"/>
  <c r="E668" i="1" a="1"/>
  <c r="E668" i="1" s="1"/>
  <c r="F668" i="1"/>
  <c r="H668" i="1" s="1"/>
  <c r="A669" i="1"/>
  <c r="B669" i="1"/>
  <c r="D669" i="1"/>
  <c r="E669" i="1" a="1"/>
  <c r="E669" i="1" s="1"/>
  <c r="F669" i="1"/>
  <c r="H669" i="1" s="1"/>
  <c r="A670" i="1"/>
  <c r="B670" i="1"/>
  <c r="D670" i="1"/>
  <c r="E670" i="1" a="1"/>
  <c r="E670" i="1" s="1"/>
  <c r="F670" i="1"/>
  <c r="A671" i="1"/>
  <c r="B671" i="1"/>
  <c r="D671" i="1"/>
  <c r="E671" i="1" a="1"/>
  <c r="E671" i="1" s="1"/>
  <c r="F671" i="1"/>
  <c r="H671" i="1" s="1"/>
  <c r="A672" i="1"/>
  <c r="B672" i="1"/>
  <c r="E672" i="1" a="1"/>
  <c r="E672" i="1" s="1"/>
  <c r="F672" i="1"/>
  <c r="A673" i="1"/>
  <c r="B673" i="1"/>
  <c r="D673" i="1"/>
  <c r="E673" i="1" a="1"/>
  <c r="E673" i="1" s="1"/>
  <c r="F673" i="1"/>
  <c r="A674" i="1"/>
  <c r="B674" i="1"/>
  <c r="D674" i="1"/>
  <c r="E674" i="1" a="1"/>
  <c r="E674" i="1" s="1"/>
  <c r="F674" i="1"/>
  <c r="A675" i="1"/>
  <c r="B675" i="1"/>
  <c r="D675" i="1"/>
  <c r="E675" i="1" a="1"/>
  <c r="E675" i="1" s="1"/>
  <c r="F675" i="1"/>
  <c r="H675" i="1" s="1"/>
  <c r="A676" i="1"/>
  <c r="B676" i="1"/>
  <c r="D676" i="1"/>
  <c r="E676" i="1" a="1"/>
  <c r="E676" i="1" s="1"/>
  <c r="F676" i="1"/>
  <c r="H676" i="1" s="1"/>
  <c r="A677" i="1"/>
  <c r="B677" i="1"/>
  <c r="D677" i="1"/>
  <c r="E677" i="1" a="1"/>
  <c r="E677" i="1" s="1"/>
  <c r="F677" i="1"/>
  <c r="H677" i="1" s="1"/>
  <c r="A678" i="1"/>
  <c r="B678" i="1"/>
  <c r="D678" i="1"/>
  <c r="E678" i="1" a="1"/>
  <c r="E678" i="1" s="1"/>
  <c r="F678" i="1"/>
  <c r="A679" i="1"/>
  <c r="B679" i="1"/>
  <c r="D679" i="1"/>
  <c r="E679" i="1" a="1"/>
  <c r="E679" i="1" s="1"/>
  <c r="F679" i="1"/>
  <c r="H679" i="1" s="1"/>
  <c r="A680" i="1"/>
  <c r="B680" i="1"/>
  <c r="D680" i="1"/>
  <c r="E680" i="1" a="1"/>
  <c r="E680" i="1" s="1"/>
  <c r="F680" i="1"/>
  <c r="A681" i="1"/>
  <c r="B681" i="1"/>
  <c r="E681" i="1" a="1"/>
  <c r="E681" i="1" s="1"/>
  <c r="F681" i="1"/>
  <c r="A682" i="1"/>
  <c r="B682" i="1"/>
  <c r="D682" i="1"/>
  <c r="E682" i="1" a="1"/>
  <c r="E682" i="1" s="1"/>
  <c r="F682" i="1"/>
  <c r="A683" i="1"/>
  <c r="B683" i="1"/>
  <c r="D683" i="1"/>
  <c r="E683" i="1" a="1"/>
  <c r="E683" i="1" s="1"/>
  <c r="F683" i="1"/>
  <c r="H683" i="1" s="1"/>
  <c r="A684" i="1"/>
  <c r="B684" i="1"/>
  <c r="D684" i="1"/>
  <c r="E684" i="1" a="1"/>
  <c r="E684" i="1" s="1"/>
  <c r="F684" i="1"/>
  <c r="H684" i="1" s="1"/>
  <c r="A685" i="1"/>
  <c r="B685" i="1"/>
  <c r="D685" i="1"/>
  <c r="E685" i="1" a="1"/>
  <c r="E685" i="1" s="1"/>
  <c r="F685" i="1"/>
  <c r="H685" i="1" s="1"/>
  <c r="A686" i="1"/>
  <c r="B686" i="1"/>
  <c r="D686" i="1"/>
  <c r="E686" i="1" a="1"/>
  <c r="E686" i="1" s="1"/>
  <c r="F686" i="1"/>
  <c r="A687" i="1"/>
  <c r="B687" i="1"/>
  <c r="D687" i="1"/>
  <c r="E687" i="1" a="1"/>
  <c r="E687" i="1" s="1"/>
  <c r="F687" i="1"/>
  <c r="H687" i="1" s="1"/>
  <c r="A688" i="1"/>
  <c r="B688" i="1"/>
  <c r="D688" i="1"/>
  <c r="E688" i="1" a="1"/>
  <c r="E688" i="1" s="1"/>
  <c r="F688" i="1"/>
  <c r="A689" i="1"/>
  <c r="B689" i="1"/>
  <c r="D689" i="1"/>
  <c r="E689" i="1" a="1"/>
  <c r="E689" i="1" s="1"/>
  <c r="F689" i="1"/>
  <c r="A690" i="1"/>
  <c r="B690" i="1"/>
  <c r="D690" i="1"/>
  <c r="E690" i="1" a="1"/>
  <c r="E690" i="1" s="1"/>
  <c r="F690" i="1"/>
  <c r="A691" i="1"/>
  <c r="B691" i="1"/>
  <c r="E691" i="1" a="1"/>
  <c r="E691" i="1" s="1"/>
  <c r="F691" i="1"/>
  <c r="A692" i="1"/>
  <c r="B692" i="1"/>
  <c r="D692" i="1"/>
  <c r="E692" i="1" a="1"/>
  <c r="E692" i="1" s="1"/>
  <c r="F692" i="1"/>
  <c r="H692" i="1" s="1"/>
  <c r="A693" i="1"/>
  <c r="B693" i="1"/>
  <c r="D693" i="1"/>
  <c r="E693" i="1" a="1"/>
  <c r="E693" i="1" s="1"/>
  <c r="F693" i="1"/>
  <c r="H693" i="1" s="1"/>
  <c r="A694" i="1"/>
  <c r="B694" i="1"/>
  <c r="D694" i="1"/>
  <c r="E694" i="1" a="1"/>
  <c r="E694" i="1" s="1"/>
  <c r="F694" i="1"/>
  <c r="A695" i="1"/>
  <c r="B695" i="1"/>
  <c r="D695" i="1"/>
  <c r="E695" i="1" a="1"/>
  <c r="E695" i="1" s="1"/>
  <c r="F695" i="1"/>
  <c r="H695" i="1" s="1"/>
  <c r="A696" i="1"/>
  <c r="B696" i="1"/>
  <c r="D696" i="1"/>
  <c r="E696" i="1" a="1"/>
  <c r="E696" i="1" s="1"/>
  <c r="F696" i="1"/>
  <c r="A697" i="1"/>
  <c r="B697" i="1"/>
  <c r="D697" i="1"/>
  <c r="E697" i="1" a="1"/>
  <c r="E697" i="1" s="1"/>
  <c r="F697" i="1"/>
  <c r="A698" i="1"/>
  <c r="B698" i="1"/>
  <c r="D698" i="1"/>
  <c r="E698" i="1" a="1"/>
  <c r="E698" i="1" s="1"/>
  <c r="F698" i="1"/>
  <c r="A699" i="1"/>
  <c r="B699" i="1"/>
  <c r="D699" i="1"/>
  <c r="E699" i="1" a="1"/>
  <c r="E699" i="1" s="1"/>
  <c r="F699" i="1"/>
  <c r="H699" i="1" s="1"/>
  <c r="A700" i="1"/>
  <c r="B700" i="1"/>
  <c r="D700" i="1"/>
  <c r="E700" i="1" a="1"/>
  <c r="E700" i="1" s="1"/>
  <c r="F700" i="1"/>
  <c r="H700" i="1" s="1"/>
  <c r="A701" i="1"/>
  <c r="B701" i="1"/>
  <c r="D701" i="1"/>
  <c r="E701" i="1" a="1"/>
  <c r="E701" i="1" s="1"/>
  <c r="F701" i="1"/>
  <c r="H701" i="1" s="1"/>
  <c r="A702" i="1"/>
  <c r="B702" i="1"/>
  <c r="D702" i="1"/>
  <c r="E702" i="1" a="1"/>
  <c r="E702" i="1" s="1"/>
  <c r="F702" i="1"/>
  <c r="A703" i="1"/>
  <c r="B703" i="1"/>
  <c r="D703" i="1"/>
  <c r="E703" i="1" a="1"/>
  <c r="E703" i="1" s="1"/>
  <c r="F703" i="1"/>
  <c r="A704" i="1"/>
  <c r="B704" i="1"/>
  <c r="D704" i="1"/>
  <c r="E704" i="1" a="1"/>
  <c r="E704" i="1" s="1"/>
  <c r="F704" i="1"/>
  <c r="A705" i="1"/>
  <c r="B705" i="1"/>
  <c r="D705" i="1"/>
  <c r="E705" i="1" a="1"/>
  <c r="E705" i="1" s="1"/>
  <c r="F705" i="1"/>
  <c r="A706" i="1"/>
  <c r="B706" i="1"/>
  <c r="D706" i="1"/>
  <c r="E706" i="1" a="1"/>
  <c r="E706" i="1" s="1"/>
  <c r="F706" i="1"/>
  <c r="H706" i="1" s="1"/>
  <c r="A707" i="1"/>
  <c r="B707" i="1"/>
  <c r="D707" i="1"/>
  <c r="E707" i="1" a="1"/>
  <c r="E707" i="1" s="1"/>
  <c r="F707" i="1"/>
  <c r="A708" i="1"/>
  <c r="B708" i="1"/>
  <c r="D708" i="1"/>
  <c r="E708" i="1" a="1"/>
  <c r="E708" i="1" s="1"/>
  <c r="F708" i="1"/>
  <c r="H708" i="1" s="1"/>
  <c r="A709" i="1"/>
  <c r="B709" i="1"/>
  <c r="D709" i="1"/>
  <c r="E709" i="1" a="1"/>
  <c r="E709" i="1" s="1"/>
  <c r="F709" i="1"/>
  <c r="H709" i="1" s="1"/>
  <c r="A710" i="1"/>
  <c r="B710" i="1"/>
  <c r="D710" i="1"/>
  <c r="E710" i="1" a="1"/>
  <c r="E710" i="1" s="1"/>
  <c r="F710" i="1"/>
  <c r="H710" i="1" s="1"/>
  <c r="A711" i="1"/>
  <c r="B711" i="1"/>
  <c r="D711" i="1"/>
  <c r="E711" i="1" a="1"/>
  <c r="E711" i="1" s="1"/>
  <c r="F711" i="1"/>
  <c r="H711" i="1" s="1"/>
  <c r="A712" i="1"/>
  <c r="B712" i="1"/>
  <c r="E712" i="1" a="1"/>
  <c r="E712" i="1" s="1"/>
  <c r="F712" i="1"/>
  <c r="A713" i="1"/>
  <c r="B713" i="1"/>
  <c r="D713" i="1"/>
  <c r="E713" i="1" a="1"/>
  <c r="E713" i="1" s="1"/>
  <c r="F713" i="1"/>
  <c r="A714" i="1"/>
  <c r="B714" i="1"/>
  <c r="D714" i="1"/>
  <c r="E714" i="1" a="1"/>
  <c r="E714" i="1" s="1"/>
  <c r="F714" i="1"/>
  <c r="A715" i="1"/>
  <c r="B715" i="1"/>
  <c r="D715" i="1"/>
  <c r="E715" i="1" a="1"/>
  <c r="E715" i="1" s="1"/>
  <c r="F715" i="1"/>
  <c r="H715" i="1" s="1"/>
  <c r="A716" i="1"/>
  <c r="B716" i="1"/>
  <c r="D716" i="1"/>
  <c r="E716" i="1" a="1"/>
  <c r="E716" i="1" s="1"/>
  <c r="F716" i="1"/>
  <c r="H716" i="1" s="1"/>
  <c r="A717" i="1"/>
  <c r="B717" i="1"/>
  <c r="D717" i="1"/>
  <c r="E717" i="1" a="1"/>
  <c r="E717" i="1" s="1"/>
  <c r="F717" i="1"/>
  <c r="H717" i="1" s="1"/>
  <c r="A718" i="1"/>
  <c r="B718" i="1"/>
  <c r="D718" i="1"/>
  <c r="E718" i="1" a="1"/>
  <c r="E718" i="1" s="1"/>
  <c r="F718" i="1"/>
  <c r="A719" i="1"/>
  <c r="B719" i="1"/>
  <c r="D719" i="1"/>
  <c r="E719" i="1" a="1"/>
  <c r="E719" i="1" s="1"/>
  <c r="F719" i="1"/>
  <c r="H719" i="1" s="1"/>
  <c r="A720" i="1"/>
  <c r="B720" i="1"/>
  <c r="D720" i="1"/>
  <c r="E720" i="1" a="1"/>
  <c r="E720" i="1" s="1"/>
  <c r="F720" i="1"/>
  <c r="H720" i="1" s="1"/>
  <c r="A721" i="1"/>
  <c r="B721" i="1"/>
  <c r="D721" i="1"/>
  <c r="E721" i="1" a="1"/>
  <c r="E721" i="1" s="1"/>
  <c r="F721" i="1"/>
  <c r="A722" i="1"/>
  <c r="B722" i="1"/>
  <c r="D722" i="1"/>
  <c r="E722" i="1" a="1"/>
  <c r="E722" i="1" s="1"/>
  <c r="F722" i="1"/>
  <c r="A723" i="1"/>
  <c r="B723" i="1"/>
  <c r="D723" i="1"/>
  <c r="E723" i="1" a="1"/>
  <c r="E723" i="1" s="1"/>
  <c r="F723" i="1"/>
  <c r="H723" i="1" s="1"/>
  <c r="A724" i="1"/>
  <c r="B724" i="1"/>
  <c r="D724" i="1"/>
  <c r="E724" i="1" a="1"/>
  <c r="E724" i="1" s="1"/>
  <c r="F724" i="1"/>
  <c r="H724" i="1" s="1"/>
  <c r="A725" i="1"/>
  <c r="B725" i="1"/>
  <c r="D725" i="1"/>
  <c r="E725" i="1" a="1"/>
  <c r="E725" i="1" s="1"/>
  <c r="F725" i="1"/>
  <c r="H725" i="1" s="1"/>
  <c r="A726" i="1"/>
  <c r="B726" i="1"/>
  <c r="D726" i="1"/>
  <c r="E726" i="1" a="1"/>
  <c r="E726" i="1" s="1"/>
  <c r="F726" i="1"/>
  <c r="A727" i="1"/>
  <c r="B727" i="1"/>
  <c r="D727" i="1"/>
  <c r="E727" i="1" a="1"/>
  <c r="E727" i="1" s="1"/>
  <c r="F727" i="1"/>
  <c r="A728" i="1"/>
  <c r="B728" i="1"/>
  <c r="D728" i="1"/>
  <c r="E728" i="1" a="1"/>
  <c r="E728" i="1" s="1"/>
  <c r="F728" i="1"/>
  <c r="H728" i="1" s="1"/>
  <c r="A729" i="1"/>
  <c r="B729" i="1"/>
  <c r="D729" i="1"/>
  <c r="E729" i="1" a="1"/>
  <c r="E729" i="1" s="1"/>
  <c r="F729" i="1"/>
  <c r="A730" i="1"/>
  <c r="B730" i="1"/>
  <c r="D730" i="1"/>
  <c r="E730" i="1" a="1"/>
  <c r="E730" i="1" s="1"/>
  <c r="F730" i="1"/>
  <c r="A731" i="1"/>
  <c r="B731" i="1"/>
  <c r="E731" i="1" a="1"/>
  <c r="E731" i="1" s="1"/>
  <c r="F731" i="1"/>
  <c r="A732" i="1"/>
  <c r="B732" i="1"/>
  <c r="E732" i="1" a="1"/>
  <c r="E732" i="1" s="1"/>
  <c r="F732" i="1"/>
  <c r="H732" i="1" s="1"/>
  <c r="A733" i="1"/>
  <c r="B733" i="1"/>
  <c r="D733" i="1"/>
  <c r="E733" i="1" a="1"/>
  <c r="E733" i="1" s="1"/>
  <c r="F733" i="1"/>
  <c r="H733" i="1" s="1"/>
  <c r="A734" i="1"/>
  <c r="B734" i="1"/>
  <c r="D734" i="1"/>
  <c r="E734" i="1" a="1"/>
  <c r="E734" i="1" s="1"/>
  <c r="F734" i="1"/>
  <c r="A735" i="1"/>
  <c r="B735" i="1"/>
  <c r="D735" i="1"/>
  <c r="E735" i="1" a="1"/>
  <c r="E735" i="1" s="1"/>
  <c r="F735" i="1"/>
  <c r="A736" i="1"/>
  <c r="B736" i="1"/>
  <c r="E736" i="1" a="1"/>
  <c r="E736" i="1" s="1"/>
  <c r="F736" i="1"/>
  <c r="A737" i="1"/>
  <c r="B737" i="1"/>
  <c r="D737" i="1"/>
  <c r="E737" i="1" a="1"/>
  <c r="E737" i="1" s="1"/>
  <c r="F737" i="1"/>
  <c r="A738" i="1"/>
  <c r="B738" i="1"/>
  <c r="D738" i="1"/>
  <c r="E738" i="1" a="1"/>
  <c r="E738" i="1" s="1"/>
  <c r="F738" i="1"/>
  <c r="A739" i="1"/>
  <c r="B739" i="1"/>
  <c r="E739" i="1" a="1"/>
  <c r="E739" i="1" s="1"/>
  <c r="F739" i="1"/>
  <c r="A740" i="1"/>
  <c r="B740" i="1"/>
  <c r="D740" i="1"/>
  <c r="E740" i="1" a="1"/>
  <c r="E740" i="1" s="1"/>
  <c r="F740" i="1"/>
  <c r="H740" i="1" s="1"/>
  <c r="A741" i="1"/>
  <c r="B741" i="1"/>
  <c r="D741" i="1"/>
  <c r="E741" i="1" a="1"/>
  <c r="E741" i="1" s="1"/>
  <c r="F741" i="1"/>
  <c r="H741" i="1" s="1"/>
  <c r="A742" i="1"/>
  <c r="B742" i="1"/>
  <c r="D742" i="1"/>
  <c r="E742" i="1" a="1"/>
  <c r="E742" i="1" s="1"/>
  <c r="F742" i="1"/>
  <c r="A743" i="1"/>
  <c r="B743" i="1"/>
  <c r="D743" i="1"/>
  <c r="E743" i="1" a="1"/>
  <c r="E743" i="1" s="1"/>
  <c r="F743" i="1"/>
  <c r="H743" i="1" s="1"/>
  <c r="A744" i="1"/>
  <c r="B744" i="1"/>
  <c r="E744" i="1" a="1"/>
  <c r="E744" i="1" s="1"/>
  <c r="F744" i="1"/>
  <c r="A745" i="1"/>
  <c r="B745" i="1"/>
  <c r="D745" i="1"/>
  <c r="E745" i="1" a="1"/>
  <c r="E745" i="1" s="1"/>
  <c r="F745" i="1"/>
  <c r="A746" i="1"/>
  <c r="B746" i="1"/>
  <c r="D746" i="1"/>
  <c r="E746" i="1" a="1"/>
  <c r="E746" i="1" s="1"/>
  <c r="F746" i="1"/>
  <c r="A747" i="1"/>
  <c r="B747" i="1"/>
  <c r="D747" i="1"/>
  <c r="E747" i="1" a="1"/>
  <c r="E747" i="1" s="1"/>
  <c r="F747" i="1"/>
  <c r="A748" i="1"/>
  <c r="B748" i="1"/>
  <c r="D748" i="1"/>
  <c r="E748" i="1" a="1"/>
  <c r="E748" i="1" s="1"/>
  <c r="F748" i="1"/>
  <c r="H748" i="1" s="1"/>
  <c r="A749" i="1"/>
  <c r="B749" i="1"/>
  <c r="E749" i="1" a="1"/>
  <c r="E749" i="1" s="1"/>
  <c r="F749" i="1"/>
  <c r="H749" i="1" s="1"/>
  <c r="A750" i="1"/>
  <c r="B750" i="1"/>
  <c r="D750" i="1"/>
  <c r="E750" i="1" a="1"/>
  <c r="E750" i="1" s="1"/>
  <c r="F750" i="1"/>
  <c r="A751" i="1"/>
  <c r="B751" i="1"/>
  <c r="D751" i="1"/>
  <c r="E751" i="1" a="1"/>
  <c r="E751" i="1" s="1"/>
  <c r="F751" i="1"/>
  <c r="A752" i="1"/>
  <c r="B752" i="1"/>
  <c r="D752" i="1"/>
  <c r="E752" i="1" a="1"/>
  <c r="E752" i="1" s="1"/>
  <c r="F752" i="1"/>
  <c r="H752" i="1" s="1"/>
  <c r="A753" i="1"/>
  <c r="B753" i="1"/>
  <c r="D753" i="1"/>
  <c r="E753" i="1" a="1"/>
  <c r="E753" i="1" s="1"/>
  <c r="F753" i="1"/>
  <c r="A754" i="1"/>
  <c r="B754" i="1"/>
  <c r="D754" i="1"/>
  <c r="E754" i="1" a="1"/>
  <c r="E754" i="1" s="1"/>
  <c r="F754" i="1"/>
  <c r="A755" i="1"/>
  <c r="B755" i="1"/>
  <c r="D755" i="1"/>
  <c r="E755" i="1" a="1"/>
  <c r="E755" i="1" s="1"/>
  <c r="F755" i="1"/>
  <c r="A756" i="1"/>
  <c r="B756" i="1"/>
  <c r="D756" i="1"/>
  <c r="E756" i="1" a="1"/>
  <c r="E756" i="1" s="1"/>
  <c r="F756" i="1"/>
  <c r="H756" i="1" s="1"/>
  <c r="A757" i="1"/>
  <c r="B757" i="1"/>
  <c r="D757" i="1"/>
  <c r="E757" i="1" a="1"/>
  <c r="E757" i="1" s="1"/>
  <c r="F757" i="1"/>
  <c r="H757" i="1" s="1"/>
  <c r="A758" i="1"/>
  <c r="B758" i="1"/>
  <c r="D758" i="1"/>
  <c r="E758" i="1" a="1"/>
  <c r="E758" i="1" s="1"/>
  <c r="F758" i="1"/>
  <c r="A759" i="1"/>
  <c r="B759" i="1"/>
  <c r="E759" i="1" a="1"/>
  <c r="E759" i="1" s="1"/>
  <c r="F759" i="1"/>
  <c r="A760" i="1"/>
  <c r="B760" i="1"/>
  <c r="D760" i="1"/>
  <c r="E760" i="1" a="1"/>
  <c r="E760" i="1" s="1"/>
  <c r="F760" i="1"/>
  <c r="H760" i="1" s="1"/>
  <c r="A761" i="1"/>
  <c r="B761" i="1"/>
  <c r="D761" i="1"/>
  <c r="E761" i="1" a="1"/>
  <c r="E761" i="1" s="1"/>
  <c r="F761" i="1"/>
  <c r="A762" i="1"/>
  <c r="B762" i="1"/>
  <c r="D762" i="1"/>
  <c r="E762" i="1" a="1"/>
  <c r="E762" i="1" s="1"/>
  <c r="F762" i="1"/>
  <c r="A763" i="1"/>
  <c r="B763" i="1"/>
  <c r="E763" i="1" a="1"/>
  <c r="E763" i="1" s="1"/>
  <c r="F763" i="1"/>
  <c r="A764" i="1"/>
  <c r="B764" i="1"/>
  <c r="D764" i="1"/>
  <c r="E764" i="1" a="1"/>
  <c r="E764" i="1" s="1"/>
  <c r="F764" i="1"/>
  <c r="H764" i="1" s="1"/>
  <c r="A765" i="1"/>
  <c r="B765" i="1"/>
  <c r="D765" i="1"/>
  <c r="E765" i="1" a="1"/>
  <c r="E765" i="1" s="1"/>
  <c r="F765" i="1"/>
  <c r="H765" i="1" s="1"/>
  <c r="A766" i="1"/>
  <c r="B766" i="1"/>
  <c r="D766" i="1"/>
  <c r="E766" i="1" a="1"/>
  <c r="E766" i="1" s="1"/>
  <c r="F766" i="1"/>
  <c r="A767" i="1"/>
  <c r="B767" i="1"/>
  <c r="D767" i="1"/>
  <c r="E767" i="1" a="1"/>
  <c r="E767" i="1" s="1"/>
  <c r="F767" i="1"/>
  <c r="H767" i="1" s="1"/>
  <c r="A768" i="1"/>
  <c r="B768" i="1"/>
  <c r="E768" i="1" a="1"/>
  <c r="E768" i="1" s="1"/>
  <c r="F768" i="1"/>
  <c r="A769" i="1"/>
  <c r="B769" i="1"/>
  <c r="D769" i="1"/>
  <c r="E769" i="1" a="1"/>
  <c r="E769" i="1" s="1"/>
  <c r="F769" i="1"/>
  <c r="A770" i="1"/>
  <c r="B770" i="1"/>
  <c r="D770" i="1"/>
  <c r="E770" i="1" a="1"/>
  <c r="E770" i="1" s="1"/>
  <c r="F770" i="1"/>
  <c r="H770" i="1" s="1"/>
  <c r="A771" i="1"/>
  <c r="B771" i="1"/>
  <c r="D771" i="1"/>
  <c r="E771" i="1" a="1"/>
  <c r="E771" i="1" s="1"/>
  <c r="F771" i="1"/>
  <c r="H771" i="1" s="1"/>
  <c r="A772" i="1"/>
  <c r="B772" i="1"/>
  <c r="D772" i="1"/>
  <c r="E772" i="1" a="1"/>
  <c r="E772" i="1" s="1"/>
  <c r="F772" i="1"/>
  <c r="H772" i="1" s="1"/>
  <c r="A773" i="1"/>
  <c r="B773" i="1"/>
  <c r="E773" i="1" a="1"/>
  <c r="E773" i="1" s="1"/>
  <c r="F773" i="1"/>
  <c r="A774" i="1"/>
  <c r="B774" i="1"/>
  <c r="D774" i="1"/>
  <c r="E774" i="1" a="1"/>
  <c r="E774" i="1" s="1"/>
  <c r="F774" i="1"/>
  <c r="H774" i="1" s="1"/>
  <c r="A775" i="1"/>
  <c r="B775" i="1"/>
  <c r="D775" i="1"/>
  <c r="E775" i="1" a="1"/>
  <c r="E775" i="1" s="1"/>
  <c r="F775" i="1"/>
  <c r="H775" i="1" s="1"/>
  <c r="A776" i="1"/>
  <c r="B776" i="1"/>
  <c r="D776" i="1"/>
  <c r="E776" i="1" a="1"/>
  <c r="E776" i="1" s="1"/>
  <c r="F776" i="1"/>
  <c r="A777" i="1"/>
  <c r="B777" i="1"/>
  <c r="D777" i="1"/>
  <c r="E777" i="1" a="1"/>
  <c r="E777" i="1" s="1"/>
  <c r="F777" i="1"/>
  <c r="A778" i="1"/>
  <c r="B778" i="1"/>
  <c r="D778" i="1"/>
  <c r="E778" i="1" a="1"/>
  <c r="E778" i="1" s="1"/>
  <c r="F778" i="1"/>
  <c r="A779" i="1"/>
  <c r="B779" i="1"/>
  <c r="D779" i="1"/>
  <c r="E779" i="1" a="1"/>
  <c r="E779" i="1" s="1"/>
  <c r="F779" i="1"/>
  <c r="A780" i="1"/>
  <c r="B780" i="1"/>
  <c r="D780" i="1"/>
  <c r="E780" i="1" a="1"/>
  <c r="E780" i="1" s="1"/>
  <c r="F780" i="1"/>
  <c r="H780" i="1" s="1"/>
  <c r="A781" i="1"/>
  <c r="B781" i="1"/>
  <c r="D781" i="1"/>
  <c r="E781" i="1" a="1"/>
  <c r="E781" i="1" s="1"/>
  <c r="F781" i="1"/>
  <c r="H781" i="1" s="1"/>
  <c r="A782" i="1"/>
  <c r="B782" i="1"/>
  <c r="D782" i="1"/>
  <c r="E782" i="1" a="1"/>
  <c r="E782" i="1" s="1"/>
  <c r="F782" i="1"/>
  <c r="H782" i="1" s="1"/>
  <c r="A783" i="1"/>
  <c r="B783" i="1"/>
  <c r="D783" i="1"/>
  <c r="E783" i="1" a="1"/>
  <c r="E783" i="1" s="1"/>
  <c r="F783" i="1"/>
  <c r="H783" i="1" s="1"/>
  <c r="A784" i="1"/>
  <c r="B784" i="1"/>
  <c r="D784" i="1"/>
  <c r="E784" i="1" a="1"/>
  <c r="E784" i="1" s="1"/>
  <c r="F784" i="1"/>
  <c r="A785" i="1"/>
  <c r="B785" i="1"/>
  <c r="D785" i="1"/>
  <c r="E785" i="1" a="1"/>
  <c r="E785" i="1" s="1"/>
  <c r="F785" i="1"/>
  <c r="A786" i="1"/>
  <c r="B786" i="1"/>
  <c r="D786" i="1"/>
  <c r="E786" i="1" a="1"/>
  <c r="E786" i="1" s="1"/>
  <c r="F786" i="1"/>
  <c r="A787" i="1"/>
  <c r="B787" i="1"/>
  <c r="D787" i="1"/>
  <c r="E787" i="1" a="1"/>
  <c r="E787" i="1" s="1"/>
  <c r="F787" i="1"/>
  <c r="A788" i="1"/>
  <c r="B788" i="1"/>
  <c r="D788" i="1"/>
  <c r="E788" i="1" a="1"/>
  <c r="E788" i="1" s="1"/>
  <c r="F788" i="1"/>
  <c r="H788" i="1" s="1"/>
  <c r="A789" i="1"/>
  <c r="B789" i="1"/>
  <c r="D789" i="1"/>
  <c r="E789" i="1" a="1"/>
  <c r="E789" i="1" s="1"/>
  <c r="F789" i="1"/>
  <c r="H789" i="1" s="1"/>
  <c r="A790" i="1"/>
  <c r="B790" i="1"/>
  <c r="D790" i="1"/>
  <c r="E790" i="1" a="1"/>
  <c r="E790" i="1" s="1"/>
  <c r="F790" i="1"/>
  <c r="A791" i="1"/>
  <c r="B791" i="1"/>
  <c r="D791" i="1"/>
  <c r="E791" i="1" a="1"/>
  <c r="E791" i="1" s="1"/>
  <c r="F791" i="1"/>
  <c r="H791" i="1" s="1"/>
  <c r="A792" i="1"/>
  <c r="B792" i="1"/>
  <c r="D792" i="1"/>
  <c r="E792" i="1" a="1"/>
  <c r="E792" i="1" s="1"/>
  <c r="F792" i="1"/>
  <c r="A793" i="1"/>
  <c r="B793" i="1"/>
  <c r="D793" i="1"/>
  <c r="E793" i="1" a="1"/>
  <c r="E793" i="1" s="1"/>
  <c r="F793" i="1"/>
  <c r="A794" i="1"/>
  <c r="B794" i="1"/>
  <c r="D794" i="1"/>
  <c r="E794" i="1" a="1"/>
  <c r="E794" i="1" s="1"/>
  <c r="F794" i="1"/>
  <c r="A795" i="1"/>
  <c r="B795" i="1"/>
  <c r="E795" i="1" a="1"/>
  <c r="E795" i="1" s="1"/>
  <c r="F795" i="1"/>
  <c r="A796" i="1"/>
  <c r="B796" i="1"/>
  <c r="D796" i="1"/>
  <c r="E796" i="1" a="1"/>
  <c r="E796" i="1" s="1"/>
  <c r="F796" i="1"/>
  <c r="H796" i="1" s="1"/>
  <c r="A797" i="1"/>
  <c r="B797" i="1"/>
  <c r="D797" i="1"/>
  <c r="E797" i="1" a="1"/>
  <c r="E797" i="1" s="1"/>
  <c r="F797" i="1"/>
  <c r="H797" i="1" s="1"/>
  <c r="A798" i="1"/>
  <c r="B798" i="1"/>
  <c r="D798" i="1"/>
  <c r="E798" i="1" a="1"/>
  <c r="E798" i="1" s="1"/>
  <c r="F798" i="1"/>
  <c r="A799" i="1"/>
  <c r="B799" i="1"/>
  <c r="E799" i="1" a="1"/>
  <c r="E799" i="1" s="1"/>
  <c r="F799" i="1"/>
  <c r="A800" i="1"/>
  <c r="B800" i="1"/>
  <c r="E800" i="1" a="1"/>
  <c r="E800" i="1" s="1"/>
  <c r="F800" i="1"/>
  <c r="A801" i="1"/>
  <c r="B801" i="1"/>
  <c r="D801" i="1"/>
  <c r="E801" i="1" a="1"/>
  <c r="E801" i="1" s="1"/>
  <c r="F801" i="1"/>
  <c r="A802" i="1"/>
  <c r="B802" i="1"/>
  <c r="D802" i="1"/>
  <c r="E802" i="1" a="1"/>
  <c r="E802" i="1" s="1"/>
  <c r="F802" i="1"/>
  <c r="H802" i="1" s="1"/>
  <c r="A803" i="1"/>
  <c r="B803" i="1"/>
  <c r="D803" i="1"/>
  <c r="E803" i="1" a="1"/>
  <c r="E803" i="1" s="1"/>
  <c r="F803" i="1"/>
  <c r="A804" i="1"/>
  <c r="B804" i="1"/>
  <c r="E804" i="1" a="1"/>
  <c r="E804" i="1" s="1"/>
  <c r="F804" i="1"/>
  <c r="A805" i="1"/>
  <c r="B805" i="1"/>
  <c r="D805" i="1"/>
  <c r="E805" i="1" a="1"/>
  <c r="E805" i="1" s="1"/>
  <c r="F805" i="1"/>
  <c r="H805" i="1" s="1"/>
  <c r="A806" i="1"/>
  <c r="B806" i="1"/>
  <c r="D806" i="1"/>
  <c r="E806" i="1" a="1"/>
  <c r="E806" i="1" s="1"/>
  <c r="F806" i="1"/>
  <c r="A807" i="1"/>
  <c r="B807" i="1"/>
  <c r="D807" i="1"/>
  <c r="E807" i="1" a="1"/>
  <c r="E807" i="1" s="1"/>
  <c r="F807" i="1"/>
  <c r="H807" i="1" s="1"/>
  <c r="A808" i="1"/>
  <c r="B808" i="1"/>
  <c r="E808" i="1" a="1"/>
  <c r="E808" i="1" s="1"/>
  <c r="F808" i="1"/>
  <c r="A809" i="1"/>
  <c r="B809" i="1"/>
  <c r="D809" i="1"/>
  <c r="E809" i="1" a="1"/>
  <c r="E809" i="1" s="1"/>
  <c r="F809" i="1"/>
  <c r="A810" i="1"/>
  <c r="B810" i="1"/>
  <c r="D810" i="1"/>
  <c r="E810" i="1" a="1"/>
  <c r="E810" i="1" s="1"/>
  <c r="F810" i="1"/>
  <c r="A811" i="1"/>
  <c r="B811" i="1"/>
  <c r="D811" i="1"/>
  <c r="E811" i="1" a="1"/>
  <c r="E811" i="1" s="1"/>
  <c r="F811" i="1"/>
  <c r="A812" i="1"/>
  <c r="B812" i="1"/>
  <c r="D812" i="1"/>
  <c r="E812" i="1" a="1"/>
  <c r="E812" i="1" s="1"/>
  <c r="F812" i="1"/>
  <c r="H812" i="1" s="1"/>
  <c r="A813" i="1"/>
  <c r="B813" i="1"/>
  <c r="D813" i="1"/>
  <c r="E813" i="1" a="1"/>
  <c r="E813" i="1" s="1"/>
  <c r="F813" i="1"/>
  <c r="H813" i="1" s="1"/>
  <c r="A814" i="1"/>
  <c r="B814" i="1"/>
  <c r="D814" i="1"/>
  <c r="E814" i="1" a="1"/>
  <c r="E814" i="1" s="1"/>
  <c r="F814" i="1"/>
  <c r="A815" i="1"/>
  <c r="B815" i="1"/>
  <c r="D815" i="1"/>
  <c r="E815" i="1" a="1"/>
  <c r="E815" i="1" s="1"/>
  <c r="F815" i="1"/>
  <c r="A816" i="1"/>
  <c r="B816" i="1"/>
  <c r="D816" i="1"/>
  <c r="E816" i="1" a="1"/>
  <c r="E816" i="1" s="1"/>
  <c r="F816" i="1"/>
  <c r="H816" i="1" s="1"/>
  <c r="A817" i="1"/>
  <c r="B817" i="1"/>
  <c r="D817" i="1"/>
  <c r="E817" i="1" a="1"/>
  <c r="E817" i="1" s="1"/>
  <c r="F817" i="1"/>
  <c r="A818" i="1"/>
  <c r="B818" i="1"/>
  <c r="D818" i="1"/>
  <c r="E818" i="1" a="1"/>
  <c r="E818" i="1" s="1"/>
  <c r="F818" i="1"/>
  <c r="A819" i="1"/>
  <c r="B819" i="1"/>
  <c r="E819" i="1" a="1"/>
  <c r="E819" i="1" s="1"/>
  <c r="F819" i="1"/>
  <c r="A820" i="1"/>
  <c r="B820" i="1"/>
  <c r="D820" i="1"/>
  <c r="E820" i="1" a="1"/>
  <c r="E820" i="1" s="1"/>
  <c r="F820" i="1"/>
  <c r="H820" i="1" s="1"/>
  <c r="A821" i="1"/>
  <c r="B821" i="1"/>
  <c r="D821" i="1"/>
  <c r="E821" i="1" a="1"/>
  <c r="E821" i="1" s="1"/>
  <c r="F821" i="1"/>
  <c r="H821" i="1" s="1"/>
  <c r="A822" i="1"/>
  <c r="B822" i="1"/>
  <c r="D822" i="1"/>
  <c r="E822" i="1" a="1"/>
  <c r="E822" i="1" s="1"/>
  <c r="F822" i="1"/>
  <c r="A823" i="1"/>
  <c r="B823" i="1"/>
  <c r="D823" i="1"/>
  <c r="E823" i="1" a="1"/>
  <c r="E823" i="1" s="1"/>
  <c r="F823" i="1"/>
  <c r="H823" i="1" s="1"/>
  <c r="A824" i="1"/>
  <c r="B824" i="1"/>
  <c r="D824" i="1"/>
  <c r="E824" i="1" a="1"/>
  <c r="E824" i="1" s="1"/>
  <c r="F824" i="1"/>
  <c r="A825" i="1"/>
  <c r="B825" i="1"/>
  <c r="D825" i="1"/>
  <c r="E825" i="1" a="1"/>
  <c r="E825" i="1" s="1"/>
  <c r="F825" i="1"/>
  <c r="A826" i="1"/>
  <c r="B826" i="1"/>
  <c r="D826" i="1"/>
  <c r="E826" i="1" a="1"/>
  <c r="E826" i="1" s="1"/>
  <c r="F826" i="1"/>
  <c r="A827" i="1"/>
  <c r="B827" i="1"/>
  <c r="D827" i="1"/>
  <c r="E827" i="1" a="1"/>
  <c r="E827" i="1" s="1"/>
  <c r="F827" i="1"/>
  <c r="A828" i="1"/>
  <c r="B828" i="1"/>
  <c r="D828" i="1"/>
  <c r="E828" i="1" a="1"/>
  <c r="E828" i="1" s="1"/>
  <c r="F828" i="1"/>
  <c r="H828" i="1" s="1"/>
  <c r="A829" i="1"/>
  <c r="B829" i="1"/>
  <c r="D829" i="1"/>
  <c r="E829" i="1" a="1"/>
  <c r="E829" i="1" s="1"/>
  <c r="F829" i="1"/>
  <c r="H829" i="1" s="1"/>
  <c r="A830" i="1"/>
  <c r="B830" i="1"/>
  <c r="D830" i="1"/>
  <c r="E830" i="1" a="1"/>
  <c r="E830" i="1" s="1"/>
  <c r="F830" i="1"/>
  <c r="A831" i="1"/>
  <c r="B831" i="1"/>
  <c r="D831" i="1"/>
  <c r="E831" i="1" a="1"/>
  <c r="E831" i="1" s="1"/>
  <c r="F831" i="1"/>
  <c r="A832" i="1"/>
  <c r="B832" i="1"/>
  <c r="D832" i="1"/>
  <c r="E832" i="1" a="1"/>
  <c r="E832" i="1" s="1"/>
  <c r="F832" i="1"/>
  <c r="H832" i="1" s="1"/>
  <c r="A833" i="1"/>
  <c r="B833" i="1"/>
  <c r="D833" i="1"/>
  <c r="E833" i="1" a="1"/>
  <c r="E833" i="1" s="1"/>
  <c r="F833" i="1"/>
  <c r="A834" i="1"/>
  <c r="B834" i="1"/>
  <c r="D834" i="1"/>
  <c r="E834" i="1" a="1"/>
  <c r="E834" i="1" s="1"/>
  <c r="F834" i="1"/>
  <c r="A835" i="1"/>
  <c r="B835" i="1"/>
  <c r="D835" i="1"/>
  <c r="E835" i="1" a="1"/>
  <c r="E835" i="1" s="1"/>
  <c r="F835" i="1"/>
  <c r="A836" i="1"/>
  <c r="B836" i="1"/>
  <c r="E836" i="1" a="1"/>
  <c r="E836" i="1" s="1"/>
  <c r="F836" i="1"/>
  <c r="A837" i="1"/>
  <c r="B837" i="1"/>
  <c r="D837" i="1"/>
  <c r="E837" i="1" a="1"/>
  <c r="E837" i="1" s="1"/>
  <c r="F837" i="1"/>
  <c r="H837" i="1" s="1"/>
  <c r="A838" i="1"/>
  <c r="B838" i="1"/>
  <c r="D838" i="1"/>
  <c r="E838" i="1" a="1"/>
  <c r="E838" i="1" s="1"/>
  <c r="F838" i="1"/>
  <c r="A839" i="1"/>
  <c r="B839" i="1"/>
  <c r="D839" i="1"/>
  <c r="E839" i="1" a="1"/>
  <c r="E839" i="1" s="1"/>
  <c r="F839" i="1"/>
  <c r="H839" i="1" s="1"/>
  <c r="A840" i="1"/>
  <c r="B840" i="1"/>
  <c r="E840" i="1" a="1"/>
  <c r="E840" i="1" s="1"/>
  <c r="F840" i="1"/>
  <c r="H840" i="1" s="1"/>
  <c r="A841" i="1"/>
  <c r="B841" i="1"/>
  <c r="D841" i="1"/>
  <c r="E841" i="1" a="1"/>
  <c r="E841" i="1" s="1"/>
  <c r="F841" i="1"/>
  <c r="A842" i="1"/>
  <c r="B842" i="1"/>
  <c r="D842" i="1"/>
  <c r="E842" i="1" a="1"/>
  <c r="E842" i="1" s="1"/>
  <c r="F842" i="1"/>
  <c r="A843" i="1"/>
  <c r="B843" i="1"/>
  <c r="D843" i="1"/>
  <c r="E843" i="1" a="1"/>
  <c r="E843" i="1" s="1"/>
  <c r="F843" i="1"/>
  <c r="A844" i="1"/>
  <c r="B844" i="1"/>
  <c r="D844" i="1"/>
  <c r="E844" i="1" a="1"/>
  <c r="E844" i="1" s="1"/>
  <c r="F844" i="1"/>
  <c r="H844" i="1" s="1"/>
  <c r="A845" i="1"/>
  <c r="B845" i="1"/>
  <c r="D845" i="1"/>
  <c r="E845" i="1" a="1"/>
  <c r="E845" i="1" s="1"/>
  <c r="F845" i="1"/>
  <c r="H845" i="1" s="1"/>
  <c r="A846" i="1"/>
  <c r="B846" i="1"/>
  <c r="D846" i="1"/>
  <c r="E846" i="1" a="1"/>
  <c r="E846" i="1" s="1"/>
  <c r="F846" i="1"/>
  <c r="A847" i="1"/>
  <c r="B847" i="1"/>
  <c r="D847" i="1"/>
  <c r="E847" i="1" a="1"/>
  <c r="E847" i="1" s="1"/>
  <c r="F847" i="1"/>
  <c r="A848" i="1"/>
  <c r="B848" i="1"/>
  <c r="D848" i="1"/>
  <c r="E848" i="1" a="1"/>
  <c r="E848" i="1" s="1"/>
  <c r="F848" i="1"/>
  <c r="H848" i="1" s="1"/>
  <c r="A849" i="1"/>
  <c r="B849" i="1"/>
  <c r="D849" i="1"/>
  <c r="E849" i="1" a="1"/>
  <c r="E849" i="1" s="1"/>
  <c r="F849" i="1"/>
  <c r="A850" i="1"/>
  <c r="B850" i="1"/>
  <c r="D850" i="1"/>
  <c r="E850" i="1" a="1"/>
  <c r="E850" i="1" s="1"/>
  <c r="F850" i="1"/>
  <c r="A851" i="1"/>
  <c r="B851" i="1"/>
  <c r="D851" i="1"/>
  <c r="E851" i="1" a="1"/>
  <c r="E851" i="1" s="1"/>
  <c r="F851" i="1"/>
  <c r="A852" i="1"/>
  <c r="B852" i="1"/>
  <c r="D852" i="1"/>
  <c r="E852" i="1" a="1"/>
  <c r="E852" i="1" s="1"/>
  <c r="F852" i="1"/>
  <c r="H852" i="1" s="1"/>
  <c r="A853" i="1"/>
  <c r="B853" i="1"/>
  <c r="D853" i="1"/>
  <c r="E853" i="1" a="1"/>
  <c r="E853" i="1" s="1"/>
  <c r="F853" i="1"/>
  <c r="H853" i="1" s="1"/>
  <c r="A854" i="1"/>
  <c r="B854" i="1"/>
  <c r="D854" i="1"/>
  <c r="E854" i="1" a="1"/>
  <c r="E854" i="1" s="1"/>
  <c r="F854" i="1"/>
  <c r="A855" i="1"/>
  <c r="B855" i="1"/>
  <c r="D855" i="1"/>
  <c r="E855" i="1" a="1"/>
  <c r="E855" i="1" s="1"/>
  <c r="F855" i="1"/>
  <c r="H855" i="1" s="1"/>
  <c r="A856" i="1"/>
  <c r="B856" i="1"/>
  <c r="D856" i="1"/>
  <c r="E856" i="1" a="1"/>
  <c r="E856" i="1" s="1"/>
  <c r="F856" i="1"/>
  <c r="H856" i="1" s="1"/>
  <c r="A857" i="1"/>
  <c r="B857" i="1"/>
  <c r="D857" i="1"/>
  <c r="E857" i="1" a="1"/>
  <c r="E857" i="1" s="1"/>
  <c r="F857" i="1"/>
  <c r="A858" i="1"/>
  <c r="B858" i="1"/>
  <c r="D858" i="1"/>
  <c r="E858" i="1" a="1"/>
  <c r="E858" i="1" s="1"/>
  <c r="F858" i="1"/>
  <c r="A859" i="1"/>
  <c r="B859" i="1"/>
  <c r="D859" i="1"/>
  <c r="E859" i="1" a="1"/>
  <c r="E859" i="1" s="1"/>
  <c r="F859" i="1"/>
  <c r="A860" i="1"/>
  <c r="B860" i="1"/>
  <c r="D860" i="1"/>
  <c r="E860" i="1" a="1"/>
  <c r="E860" i="1" s="1"/>
  <c r="F860" i="1"/>
  <c r="H860" i="1" s="1"/>
  <c r="A861" i="1"/>
  <c r="B861" i="1"/>
  <c r="D861" i="1"/>
  <c r="E861" i="1" a="1"/>
  <c r="E861" i="1" s="1"/>
  <c r="F861" i="1"/>
  <c r="H861" i="1" s="1"/>
  <c r="A862" i="1"/>
  <c r="B862" i="1"/>
  <c r="D862" i="1"/>
  <c r="E862" i="1" a="1"/>
  <c r="E862" i="1" s="1"/>
  <c r="F862" i="1"/>
  <c r="H862" i="1" s="1"/>
  <c r="A863" i="1"/>
  <c r="B863" i="1"/>
  <c r="D863" i="1"/>
  <c r="E863" i="1" a="1"/>
  <c r="E863" i="1" s="1"/>
  <c r="F863" i="1"/>
  <c r="H863" i="1" s="1"/>
  <c r="A864" i="1"/>
  <c r="B864" i="1"/>
  <c r="D864" i="1"/>
  <c r="E864" i="1" a="1"/>
  <c r="E864" i="1" s="1"/>
  <c r="F864" i="1"/>
  <c r="A865" i="1"/>
  <c r="B865" i="1"/>
  <c r="D865" i="1"/>
  <c r="E865" i="1" a="1"/>
  <c r="E865" i="1" s="1"/>
  <c r="F865" i="1"/>
  <c r="A866" i="1"/>
  <c r="B866" i="1"/>
  <c r="D866" i="1"/>
  <c r="E866" i="1" a="1"/>
  <c r="E866" i="1" s="1"/>
  <c r="F866" i="1"/>
  <c r="A867" i="1"/>
  <c r="B867" i="1"/>
  <c r="E867" i="1" a="1"/>
  <c r="E867" i="1" s="1"/>
  <c r="F867" i="1"/>
  <c r="A868" i="1"/>
  <c r="B868" i="1"/>
  <c r="D868" i="1"/>
  <c r="E868" i="1" a="1"/>
  <c r="E868" i="1" s="1"/>
  <c r="F868" i="1"/>
  <c r="H868" i="1" s="1"/>
  <c r="A869" i="1"/>
  <c r="B869" i="1"/>
  <c r="D869" i="1"/>
  <c r="E869" i="1" a="1"/>
  <c r="E869" i="1" s="1"/>
  <c r="F869" i="1"/>
  <c r="H869" i="1" s="1"/>
  <c r="A870" i="1"/>
  <c r="B870" i="1"/>
  <c r="D870" i="1"/>
  <c r="E870" i="1" a="1"/>
  <c r="E870" i="1" s="1"/>
  <c r="F870" i="1"/>
  <c r="H870" i="1" s="1"/>
  <c r="A871" i="1"/>
  <c r="B871" i="1"/>
  <c r="D871" i="1"/>
  <c r="E871" i="1" a="1"/>
  <c r="E871" i="1" s="1"/>
  <c r="F871" i="1"/>
  <c r="H871" i="1" s="1"/>
  <c r="A872" i="1"/>
  <c r="B872" i="1"/>
  <c r="E872" i="1" a="1"/>
  <c r="E872" i="1" s="1"/>
  <c r="F872" i="1"/>
  <c r="A873" i="1"/>
  <c r="B873" i="1"/>
  <c r="D873" i="1"/>
  <c r="E873" i="1" a="1"/>
  <c r="E873" i="1" s="1"/>
  <c r="F873" i="1"/>
  <c r="H873" i="1" s="1"/>
  <c r="A874" i="1"/>
  <c r="B874" i="1"/>
  <c r="D874" i="1"/>
  <c r="E874" i="1" a="1"/>
  <c r="E874" i="1" s="1"/>
  <c r="F874" i="1"/>
  <c r="A875" i="1"/>
  <c r="B875" i="1"/>
  <c r="D875" i="1"/>
  <c r="E875" i="1" a="1"/>
  <c r="E875" i="1" s="1"/>
  <c r="F875" i="1"/>
  <c r="H875" i="1" s="1"/>
  <c r="A876" i="1"/>
  <c r="B876" i="1"/>
  <c r="D876" i="1"/>
  <c r="E876" i="1" a="1"/>
  <c r="E876" i="1" s="1"/>
  <c r="F876" i="1"/>
  <c r="H876" i="1" s="1"/>
  <c r="A877" i="1"/>
  <c r="B877" i="1"/>
  <c r="E877" i="1" a="1"/>
  <c r="E877" i="1" s="1"/>
  <c r="F877" i="1"/>
  <c r="A878" i="1"/>
  <c r="B878" i="1"/>
  <c r="D878" i="1"/>
  <c r="E878" i="1" a="1"/>
  <c r="E878" i="1" s="1"/>
  <c r="F878" i="1"/>
  <c r="H878" i="1" s="1"/>
  <c r="A879" i="1"/>
  <c r="B879" i="1"/>
  <c r="D879" i="1"/>
  <c r="E879" i="1" a="1"/>
  <c r="E879" i="1" s="1"/>
  <c r="F879" i="1"/>
  <c r="H879" i="1" s="1"/>
  <c r="A880" i="1"/>
  <c r="B880" i="1"/>
  <c r="D880" i="1"/>
  <c r="E880" i="1" a="1"/>
  <c r="E880" i="1" s="1"/>
  <c r="F880" i="1"/>
  <c r="A881" i="1"/>
  <c r="B881" i="1"/>
  <c r="D881" i="1"/>
  <c r="E881" i="1" a="1"/>
  <c r="E881" i="1" s="1"/>
  <c r="F881" i="1"/>
  <c r="A882" i="1"/>
  <c r="B882" i="1"/>
  <c r="E882" i="1" a="1"/>
  <c r="E882" i="1" s="1"/>
  <c r="F882" i="1"/>
  <c r="A883" i="1"/>
  <c r="B883" i="1"/>
  <c r="D883" i="1"/>
  <c r="E883" i="1" a="1"/>
  <c r="E883" i="1" s="1"/>
  <c r="F883" i="1"/>
  <c r="A884" i="1"/>
  <c r="B884" i="1"/>
  <c r="D884" i="1"/>
  <c r="E884" i="1" a="1"/>
  <c r="E884" i="1" s="1"/>
  <c r="F884" i="1"/>
  <c r="H884" i="1" s="1"/>
  <c r="A885" i="1"/>
  <c r="B885" i="1"/>
  <c r="D885" i="1"/>
  <c r="E885" i="1" a="1"/>
  <c r="E885" i="1" s="1"/>
  <c r="F885" i="1"/>
  <c r="A886" i="1"/>
  <c r="B886" i="1"/>
  <c r="D886" i="1"/>
  <c r="E886" i="1" a="1"/>
  <c r="E886" i="1" s="1"/>
  <c r="F886" i="1"/>
  <c r="H886" i="1" s="1"/>
  <c r="A887" i="1"/>
  <c r="B887" i="1"/>
  <c r="D887" i="1"/>
  <c r="E887" i="1" a="1"/>
  <c r="E887" i="1" s="1"/>
  <c r="F887" i="1"/>
  <c r="H887" i="1" s="1"/>
  <c r="A888" i="1"/>
  <c r="B888" i="1"/>
  <c r="D888" i="1"/>
  <c r="E888" i="1" a="1"/>
  <c r="E888" i="1" s="1"/>
  <c r="F888" i="1"/>
  <c r="A889" i="1"/>
  <c r="B889" i="1"/>
  <c r="D889" i="1"/>
  <c r="E889" i="1" a="1"/>
  <c r="E889" i="1" s="1"/>
  <c r="F889" i="1"/>
  <c r="H889" i="1" s="1"/>
  <c r="A890" i="1"/>
  <c r="B890" i="1"/>
  <c r="D890" i="1"/>
  <c r="E890" i="1" a="1"/>
  <c r="E890" i="1" s="1"/>
  <c r="F890" i="1"/>
  <c r="A891" i="1"/>
  <c r="B891" i="1"/>
  <c r="E891" i="1" a="1"/>
  <c r="E891" i="1" s="1"/>
  <c r="F891" i="1"/>
  <c r="A892" i="1"/>
  <c r="B892" i="1"/>
  <c r="D892" i="1"/>
  <c r="E892" i="1" a="1"/>
  <c r="E892" i="1" s="1"/>
  <c r="F892" i="1"/>
  <c r="H892" i="1" s="1"/>
  <c r="A893" i="1"/>
  <c r="B893" i="1"/>
  <c r="D893" i="1"/>
  <c r="E893" i="1" a="1"/>
  <c r="E893" i="1" s="1"/>
  <c r="F893" i="1"/>
  <c r="H893" i="1" s="1"/>
  <c r="A894" i="1"/>
  <c r="B894" i="1"/>
  <c r="D894" i="1"/>
  <c r="E894" i="1" a="1"/>
  <c r="E894" i="1" s="1"/>
  <c r="F894" i="1"/>
  <c r="A895" i="1"/>
  <c r="B895" i="1"/>
  <c r="D895" i="1"/>
  <c r="E895" i="1" a="1"/>
  <c r="E895" i="1" s="1"/>
  <c r="F895" i="1"/>
  <c r="H895" i="1" s="1"/>
  <c r="A896" i="1"/>
  <c r="B896" i="1"/>
  <c r="E896" i="1" a="1"/>
  <c r="E896" i="1" s="1"/>
  <c r="F896" i="1"/>
  <c r="A897" i="1"/>
  <c r="B897" i="1"/>
  <c r="D897" i="1"/>
  <c r="E897" i="1" a="1"/>
  <c r="E897" i="1" s="1"/>
  <c r="F897" i="1"/>
  <c r="A898" i="1"/>
  <c r="B898" i="1"/>
  <c r="D898" i="1"/>
  <c r="E898" i="1" a="1"/>
  <c r="E898" i="1" s="1"/>
  <c r="F898" i="1"/>
  <c r="A899" i="1"/>
  <c r="B899" i="1"/>
  <c r="D899" i="1"/>
  <c r="E899" i="1" a="1"/>
  <c r="E899" i="1" s="1"/>
  <c r="F899" i="1"/>
  <c r="H899" i="1" s="1"/>
  <c r="A900" i="1"/>
  <c r="B900" i="1"/>
  <c r="E900" i="1" a="1"/>
  <c r="E900" i="1" s="1"/>
  <c r="F900" i="1"/>
  <c r="A901" i="1"/>
  <c r="B901" i="1"/>
  <c r="D901" i="1"/>
  <c r="E901" i="1" a="1"/>
  <c r="E901" i="1" s="1"/>
  <c r="F901" i="1"/>
  <c r="H901" i="1" s="1"/>
  <c r="A902" i="1"/>
  <c r="B902" i="1"/>
  <c r="D902" i="1"/>
  <c r="E902" i="1" a="1"/>
  <c r="E902" i="1" s="1"/>
  <c r="F902" i="1"/>
  <c r="H902" i="1" s="1"/>
  <c r="A903" i="1"/>
  <c r="B903" i="1"/>
  <c r="D903" i="1"/>
  <c r="E903" i="1" a="1"/>
  <c r="E903" i="1" s="1"/>
  <c r="F903" i="1"/>
  <c r="H903" i="1" s="1"/>
  <c r="A904" i="1"/>
  <c r="B904" i="1"/>
  <c r="E904" i="1" a="1"/>
  <c r="E904" i="1" s="1"/>
  <c r="F904" i="1"/>
  <c r="A905" i="1"/>
  <c r="B905" i="1"/>
  <c r="D905" i="1"/>
  <c r="E905" i="1" a="1"/>
  <c r="E905" i="1" s="1"/>
  <c r="F905" i="1"/>
  <c r="A906" i="1"/>
  <c r="B906" i="1"/>
  <c r="D906" i="1"/>
  <c r="E906" i="1" a="1"/>
  <c r="E906" i="1" s="1"/>
  <c r="F906" i="1"/>
  <c r="A907" i="1"/>
  <c r="B907" i="1"/>
  <c r="D907" i="1"/>
  <c r="E907" i="1" a="1"/>
  <c r="E907" i="1" s="1"/>
  <c r="F907" i="1"/>
  <c r="A908" i="1"/>
  <c r="B908" i="1"/>
  <c r="D908" i="1"/>
  <c r="E908" i="1" a="1"/>
  <c r="E908" i="1" s="1"/>
  <c r="F908" i="1"/>
  <c r="H908" i="1" s="1"/>
  <c r="A909" i="1"/>
  <c r="B909" i="1"/>
  <c r="D909" i="1"/>
  <c r="E909" i="1" a="1"/>
  <c r="E909" i="1" s="1"/>
  <c r="F909" i="1"/>
  <c r="H909" i="1" s="1"/>
  <c r="A910" i="1"/>
  <c r="B910" i="1"/>
  <c r="D910" i="1"/>
  <c r="E910" i="1" a="1"/>
  <c r="E910" i="1" s="1"/>
  <c r="F910" i="1"/>
  <c r="A911" i="1"/>
  <c r="B911" i="1"/>
  <c r="D911" i="1"/>
  <c r="E911" i="1" a="1"/>
  <c r="E911" i="1" s="1"/>
  <c r="F911" i="1"/>
  <c r="H911" i="1" s="1"/>
  <c r="A912" i="1"/>
  <c r="B912" i="1"/>
  <c r="D912" i="1"/>
  <c r="E912" i="1" a="1"/>
  <c r="E912" i="1" s="1"/>
  <c r="F912" i="1"/>
  <c r="A913" i="1"/>
  <c r="B913" i="1"/>
  <c r="D913" i="1"/>
  <c r="E913" i="1" a="1"/>
  <c r="E913" i="1" s="1"/>
  <c r="F913" i="1"/>
  <c r="A914" i="1"/>
  <c r="B914" i="1"/>
  <c r="D914" i="1"/>
  <c r="E914" i="1" a="1"/>
  <c r="E914" i="1" s="1"/>
  <c r="F914" i="1"/>
  <c r="A915" i="1"/>
  <c r="B915" i="1"/>
  <c r="E915" i="1" a="1"/>
  <c r="E915" i="1" s="1"/>
  <c r="F915" i="1"/>
  <c r="A916" i="1"/>
  <c r="B916" i="1"/>
  <c r="D916" i="1"/>
  <c r="E916" i="1" a="1"/>
  <c r="E916" i="1" s="1"/>
  <c r="F916" i="1"/>
  <c r="A917" i="1"/>
  <c r="B917" i="1"/>
  <c r="D917" i="1"/>
  <c r="E917" i="1" a="1"/>
  <c r="E917" i="1" s="1"/>
  <c r="F917" i="1"/>
  <c r="H917" i="1" s="1"/>
  <c r="A918" i="1"/>
  <c r="B918" i="1"/>
  <c r="D918" i="1"/>
  <c r="E918" i="1" a="1"/>
  <c r="E918" i="1" s="1"/>
  <c r="F918" i="1"/>
  <c r="A919" i="1"/>
  <c r="B919" i="1"/>
  <c r="D919" i="1"/>
  <c r="E919" i="1" a="1"/>
  <c r="E919" i="1" s="1"/>
  <c r="F919" i="1"/>
  <c r="H919" i="1" s="1"/>
  <c r="A920" i="1"/>
  <c r="B920" i="1"/>
  <c r="D920" i="1"/>
  <c r="E920" i="1" a="1"/>
  <c r="E920" i="1" s="1"/>
  <c r="F920" i="1"/>
  <c r="A921" i="1"/>
  <c r="B921" i="1"/>
  <c r="D921" i="1"/>
  <c r="E921" i="1" a="1"/>
  <c r="E921" i="1" s="1"/>
  <c r="F921" i="1"/>
  <c r="A922" i="1"/>
  <c r="B922" i="1"/>
  <c r="D922" i="1"/>
  <c r="E922" i="1" a="1"/>
  <c r="E922" i="1" s="1"/>
  <c r="F922" i="1"/>
  <c r="A923" i="1"/>
  <c r="B923" i="1"/>
  <c r="E923" i="1" a="1"/>
  <c r="E923" i="1" s="1"/>
  <c r="F923" i="1"/>
  <c r="A924" i="1"/>
  <c r="B924" i="1"/>
  <c r="D924" i="1"/>
  <c r="E924" i="1" a="1"/>
  <c r="E924" i="1" s="1"/>
  <c r="F924" i="1"/>
  <c r="H924" i="1" s="1"/>
  <c r="A925" i="1"/>
  <c r="B925" i="1"/>
  <c r="D925" i="1"/>
  <c r="E925" i="1" a="1"/>
  <c r="E925" i="1" s="1"/>
  <c r="F925" i="1"/>
  <c r="H925" i="1" s="1"/>
  <c r="A926" i="1"/>
  <c r="B926" i="1"/>
  <c r="D926" i="1"/>
  <c r="E926" i="1" a="1"/>
  <c r="E926" i="1" s="1"/>
  <c r="F926" i="1"/>
  <c r="H926" i="1" s="1"/>
  <c r="A927" i="1"/>
  <c r="B927" i="1"/>
  <c r="E927" i="1" a="1"/>
  <c r="E927" i="1" s="1"/>
  <c r="F927" i="1"/>
  <c r="A928" i="1"/>
  <c r="B928" i="1"/>
  <c r="E928" i="1" a="1"/>
  <c r="E928" i="1" s="1"/>
  <c r="F928" i="1"/>
  <c r="A929" i="1"/>
  <c r="B929" i="1"/>
  <c r="D929" i="1"/>
  <c r="E929" i="1" a="1"/>
  <c r="E929" i="1" s="1"/>
  <c r="F929" i="1"/>
  <c r="A930" i="1"/>
  <c r="B930" i="1"/>
  <c r="D930" i="1"/>
  <c r="E930" i="1" a="1"/>
  <c r="E930" i="1" s="1"/>
  <c r="F930" i="1"/>
  <c r="H930" i="1" s="1"/>
  <c r="A931" i="1"/>
  <c r="B931" i="1"/>
  <c r="D931" i="1"/>
  <c r="E931" i="1" a="1"/>
  <c r="E931" i="1" s="1"/>
  <c r="F931" i="1"/>
  <c r="H931" i="1" s="1"/>
  <c r="A932" i="1"/>
  <c r="B932" i="1"/>
  <c r="D932" i="1"/>
  <c r="E932" i="1" a="1"/>
  <c r="E932" i="1" s="1"/>
  <c r="F932" i="1"/>
  <c r="H932" i="1" s="1"/>
  <c r="A933" i="1"/>
  <c r="B933" i="1"/>
  <c r="E933" i="1" a="1"/>
  <c r="E933" i="1" s="1"/>
  <c r="F933" i="1"/>
  <c r="A934" i="1"/>
  <c r="B934" i="1"/>
  <c r="D934" i="1"/>
  <c r="E934" i="1" a="1"/>
  <c r="E934" i="1" s="1"/>
  <c r="F934" i="1"/>
  <c r="H934" i="1" s="1"/>
  <c r="A935" i="1"/>
  <c r="B935" i="1"/>
  <c r="D935" i="1"/>
  <c r="E935" i="1" a="1"/>
  <c r="E935" i="1" s="1"/>
  <c r="F935" i="1"/>
  <c r="H935" i="1" s="1"/>
  <c r="A936" i="1"/>
  <c r="B936" i="1"/>
  <c r="D936" i="1"/>
  <c r="E936" i="1" a="1"/>
  <c r="E936" i="1" s="1"/>
  <c r="F936" i="1"/>
  <c r="A937" i="1"/>
  <c r="B937" i="1"/>
  <c r="D937" i="1"/>
  <c r="E937" i="1" a="1"/>
  <c r="E937" i="1" s="1"/>
  <c r="F937" i="1"/>
  <c r="A938" i="1"/>
  <c r="B938" i="1"/>
  <c r="D938" i="1"/>
  <c r="E938" i="1" a="1"/>
  <c r="E938" i="1" s="1"/>
  <c r="F938" i="1"/>
  <c r="A939" i="1"/>
  <c r="B939" i="1"/>
  <c r="D939" i="1"/>
  <c r="E939" i="1" a="1"/>
  <c r="E939" i="1" s="1"/>
  <c r="F939" i="1"/>
  <c r="H939" i="1" s="1"/>
  <c r="A940" i="1"/>
  <c r="B940" i="1"/>
  <c r="D940" i="1"/>
  <c r="E940" i="1" a="1"/>
  <c r="E940" i="1" s="1"/>
  <c r="F940" i="1"/>
  <c r="H940" i="1" s="1"/>
  <c r="A941" i="1"/>
  <c r="B941" i="1"/>
  <c r="E941" i="1" a="1"/>
  <c r="E941" i="1" s="1"/>
  <c r="F941" i="1"/>
  <c r="A942" i="1"/>
  <c r="B942" i="1"/>
  <c r="D942" i="1"/>
  <c r="E942" i="1" a="1"/>
  <c r="E942" i="1" s="1"/>
  <c r="F942" i="1"/>
  <c r="A943" i="1"/>
  <c r="B943" i="1"/>
  <c r="D943" i="1"/>
  <c r="E943" i="1" a="1"/>
  <c r="E943" i="1" s="1"/>
  <c r="F943" i="1"/>
  <c r="H943" i="1" s="1"/>
  <c r="A944" i="1"/>
  <c r="B944" i="1"/>
  <c r="D944" i="1"/>
  <c r="E944" i="1" a="1"/>
  <c r="E944" i="1" s="1"/>
  <c r="F944" i="1"/>
  <c r="A945" i="1"/>
  <c r="B945" i="1"/>
  <c r="D945" i="1"/>
  <c r="E945" i="1" a="1"/>
  <c r="E945" i="1" s="1"/>
  <c r="F945" i="1"/>
  <c r="A946" i="1"/>
  <c r="B946" i="1"/>
  <c r="D946" i="1"/>
  <c r="E946" i="1" a="1"/>
  <c r="E946" i="1" s="1"/>
  <c r="F946" i="1"/>
  <c r="A947" i="1"/>
  <c r="B947" i="1"/>
  <c r="D947" i="1"/>
  <c r="E947" i="1" a="1"/>
  <c r="E947" i="1" s="1"/>
  <c r="F947" i="1"/>
  <c r="A948" i="1"/>
  <c r="B948" i="1"/>
  <c r="D948" i="1"/>
  <c r="E948" i="1" a="1"/>
  <c r="E948" i="1" s="1"/>
  <c r="F948" i="1"/>
  <c r="H948" i="1" s="1"/>
  <c r="A949" i="1"/>
  <c r="B949" i="1"/>
  <c r="E949" i="1" a="1"/>
  <c r="E949" i="1" s="1"/>
  <c r="F949" i="1"/>
  <c r="A950" i="1"/>
  <c r="B950" i="1"/>
  <c r="D950" i="1"/>
  <c r="E950" i="1" a="1"/>
  <c r="E950" i="1" s="1"/>
  <c r="F950" i="1"/>
  <c r="A951" i="1"/>
  <c r="B951" i="1"/>
  <c r="D951" i="1"/>
  <c r="E951" i="1" a="1"/>
  <c r="E951" i="1" s="1"/>
  <c r="F951" i="1"/>
  <c r="H951" i="1" s="1"/>
  <c r="A952" i="1"/>
  <c r="B952" i="1"/>
  <c r="D952" i="1"/>
  <c r="E952" i="1" a="1"/>
  <c r="E952" i="1" s="1"/>
  <c r="F952" i="1"/>
  <c r="A953" i="1"/>
  <c r="B953" i="1"/>
  <c r="D953" i="1"/>
  <c r="E953" i="1" a="1"/>
  <c r="E953" i="1" s="1"/>
  <c r="F953" i="1"/>
  <c r="A954" i="1"/>
  <c r="B954" i="1"/>
  <c r="D954" i="1"/>
  <c r="E954" i="1" a="1"/>
  <c r="E954" i="1" s="1"/>
  <c r="F954" i="1"/>
  <c r="A955" i="1"/>
  <c r="B955" i="1"/>
  <c r="D955" i="1"/>
  <c r="E955" i="1" a="1"/>
  <c r="E955" i="1" s="1"/>
  <c r="F955" i="1"/>
  <c r="H955" i="1" s="1"/>
  <c r="A956" i="1"/>
  <c r="B956" i="1"/>
  <c r="D956" i="1"/>
  <c r="E956" i="1" a="1"/>
  <c r="E956" i="1" s="1"/>
  <c r="F956" i="1"/>
  <c r="H956" i="1" s="1"/>
  <c r="A957" i="1"/>
  <c r="B957" i="1"/>
  <c r="D957" i="1"/>
  <c r="E957" i="1" a="1"/>
  <c r="E957" i="1" s="1"/>
  <c r="F957" i="1"/>
  <c r="H957" i="1" s="1"/>
  <c r="A958" i="1"/>
  <c r="B958" i="1"/>
  <c r="D958" i="1"/>
  <c r="E958" i="1" a="1"/>
  <c r="E958" i="1" s="1"/>
  <c r="F958" i="1"/>
  <c r="A959" i="1"/>
  <c r="B959" i="1"/>
  <c r="D959" i="1"/>
  <c r="E959" i="1" a="1"/>
  <c r="E959" i="1" s="1"/>
  <c r="F959" i="1"/>
  <c r="H959" i="1" s="1"/>
  <c r="A960" i="1"/>
  <c r="B960" i="1"/>
  <c r="D960" i="1"/>
  <c r="E960" i="1" a="1"/>
  <c r="E960" i="1" s="1"/>
  <c r="F960" i="1"/>
  <c r="A961" i="1"/>
  <c r="B961" i="1"/>
  <c r="D961" i="1"/>
  <c r="E961" i="1" a="1"/>
  <c r="E961" i="1" s="1"/>
  <c r="F961" i="1"/>
  <c r="A962" i="1"/>
  <c r="B962" i="1"/>
  <c r="D962" i="1"/>
  <c r="E962" i="1" a="1"/>
  <c r="E962" i="1" s="1"/>
  <c r="F962" i="1"/>
  <c r="A963" i="1"/>
  <c r="B963" i="1"/>
  <c r="E963" i="1" a="1"/>
  <c r="E963" i="1" s="1"/>
  <c r="F963" i="1"/>
  <c r="A964" i="1"/>
  <c r="B964" i="1"/>
  <c r="D964" i="1"/>
  <c r="E964" i="1" a="1"/>
  <c r="E964" i="1" s="1"/>
  <c r="F964" i="1"/>
  <c r="H964" i="1" s="1"/>
  <c r="A965" i="1"/>
  <c r="B965" i="1"/>
  <c r="D965" i="1"/>
  <c r="E965" i="1" a="1"/>
  <c r="E965" i="1" s="1"/>
  <c r="F965" i="1"/>
  <c r="H965" i="1" s="1"/>
  <c r="A966" i="1"/>
  <c r="B966" i="1"/>
  <c r="D966" i="1"/>
  <c r="E966" i="1" a="1"/>
  <c r="E966" i="1" s="1"/>
  <c r="F966" i="1"/>
  <c r="A967" i="1"/>
  <c r="B967" i="1"/>
  <c r="D967" i="1"/>
  <c r="E967" i="1" a="1"/>
  <c r="E967" i="1" s="1"/>
  <c r="F967" i="1"/>
  <c r="H967" i="1" s="1"/>
  <c r="A968" i="1"/>
  <c r="B968" i="1"/>
  <c r="E968" i="1" a="1"/>
  <c r="E968" i="1" s="1"/>
  <c r="F968" i="1"/>
  <c r="A969" i="1"/>
  <c r="B969" i="1"/>
  <c r="D969" i="1"/>
  <c r="E969" i="1" a="1"/>
  <c r="E969" i="1" s="1"/>
  <c r="F969" i="1"/>
  <c r="A970" i="1"/>
  <c r="B970" i="1"/>
  <c r="D970" i="1"/>
  <c r="E970" i="1" a="1"/>
  <c r="E970" i="1" s="1"/>
  <c r="F970" i="1"/>
  <c r="A971" i="1"/>
  <c r="B971" i="1"/>
  <c r="D971" i="1"/>
  <c r="E971" i="1" a="1"/>
  <c r="E971" i="1" s="1"/>
  <c r="F971" i="1"/>
  <c r="H971" i="1" s="1"/>
  <c r="A972" i="1"/>
  <c r="B972" i="1"/>
  <c r="D972" i="1"/>
  <c r="E972" i="1" a="1"/>
  <c r="E972" i="1" s="1"/>
  <c r="F972" i="1"/>
  <c r="H972" i="1" s="1"/>
  <c r="A973" i="1"/>
  <c r="B973" i="1"/>
  <c r="D973" i="1"/>
  <c r="E973" i="1" a="1"/>
  <c r="E973" i="1" s="1"/>
  <c r="F973" i="1"/>
  <c r="H973" i="1" s="1"/>
  <c r="A974" i="1"/>
  <c r="B974" i="1"/>
  <c r="D974" i="1"/>
  <c r="E974" i="1" a="1"/>
  <c r="E974" i="1" s="1"/>
  <c r="F974" i="1"/>
  <c r="A975" i="1"/>
  <c r="B975" i="1"/>
  <c r="D975" i="1"/>
  <c r="E975" i="1" a="1"/>
  <c r="E975" i="1" s="1"/>
  <c r="F975" i="1"/>
  <c r="H975" i="1" s="1"/>
  <c r="A976" i="1"/>
  <c r="B976" i="1"/>
  <c r="E976" i="1" a="1"/>
  <c r="E976" i="1" s="1"/>
  <c r="F976" i="1"/>
  <c r="A977" i="1"/>
  <c r="B977" i="1"/>
  <c r="D977" i="1"/>
  <c r="E977" i="1" a="1"/>
  <c r="E977" i="1" s="1"/>
  <c r="F977" i="1"/>
  <c r="A978" i="1"/>
  <c r="B978" i="1"/>
  <c r="D978" i="1"/>
  <c r="E978" i="1" a="1"/>
  <c r="E978" i="1" s="1"/>
  <c r="F978" i="1"/>
  <c r="A979" i="1"/>
  <c r="B979" i="1"/>
  <c r="E979" i="1" a="1"/>
  <c r="E979" i="1" s="1"/>
  <c r="F979" i="1"/>
  <c r="A980" i="1"/>
  <c r="B980" i="1"/>
  <c r="D980" i="1"/>
  <c r="E980" i="1" a="1"/>
  <c r="E980" i="1" s="1"/>
  <c r="F980" i="1"/>
  <c r="H980" i="1" s="1"/>
  <c r="A981" i="1"/>
  <c r="B981" i="1"/>
  <c r="D981" i="1"/>
  <c r="E981" i="1" a="1"/>
  <c r="E981" i="1" s="1"/>
  <c r="F981" i="1"/>
  <c r="H981" i="1" s="1"/>
  <c r="A982" i="1"/>
  <c r="B982" i="1"/>
  <c r="D982" i="1"/>
  <c r="E982" i="1" a="1"/>
  <c r="E982" i="1" s="1"/>
  <c r="F982" i="1"/>
  <c r="A983" i="1"/>
  <c r="B983" i="1"/>
  <c r="D983" i="1"/>
  <c r="E983" i="1" a="1"/>
  <c r="E983" i="1" s="1"/>
  <c r="F983" i="1"/>
  <c r="H983" i="1" s="1"/>
  <c r="A984" i="1"/>
  <c r="B984" i="1"/>
  <c r="D984" i="1"/>
  <c r="E984" i="1" a="1"/>
  <c r="E984" i="1" s="1"/>
  <c r="F984" i="1"/>
  <c r="H984" i="1" s="1"/>
  <c r="A985" i="1"/>
  <c r="B985" i="1"/>
  <c r="D985" i="1"/>
  <c r="E985" i="1" a="1"/>
  <c r="E985" i="1" s="1"/>
  <c r="F985" i="1"/>
  <c r="A986" i="1"/>
  <c r="B986" i="1"/>
  <c r="D986" i="1"/>
  <c r="E986" i="1" a="1"/>
  <c r="E986" i="1" s="1"/>
  <c r="F986" i="1"/>
  <c r="A987" i="1"/>
  <c r="B987" i="1"/>
  <c r="E987" i="1" a="1"/>
  <c r="E987" i="1" s="1"/>
  <c r="F987" i="1"/>
  <c r="A988" i="1"/>
  <c r="B988" i="1"/>
  <c r="D988" i="1"/>
  <c r="E988" i="1" a="1"/>
  <c r="E988" i="1" s="1"/>
  <c r="F988" i="1"/>
  <c r="H988" i="1" s="1"/>
  <c r="A989" i="1"/>
  <c r="B989" i="1"/>
  <c r="D989" i="1"/>
  <c r="E989" i="1" a="1"/>
  <c r="E989" i="1" s="1"/>
  <c r="F989" i="1"/>
  <c r="H989" i="1" s="1"/>
  <c r="A990" i="1"/>
  <c r="B990" i="1"/>
  <c r="D990" i="1"/>
  <c r="E990" i="1" a="1"/>
  <c r="E990" i="1" s="1"/>
  <c r="F990" i="1"/>
  <c r="H990" i="1" s="1"/>
  <c r="A991" i="1"/>
  <c r="B991" i="1"/>
  <c r="D991" i="1"/>
  <c r="E991" i="1" a="1"/>
  <c r="E991" i="1" s="1"/>
  <c r="F991" i="1"/>
  <c r="A992" i="1"/>
  <c r="B992" i="1"/>
  <c r="D992" i="1"/>
  <c r="E992" i="1" a="1"/>
  <c r="E992" i="1" s="1"/>
  <c r="F992" i="1"/>
  <c r="H992" i="1" s="1"/>
  <c r="A993" i="1"/>
  <c r="B993" i="1"/>
  <c r="D993" i="1"/>
  <c r="E993" i="1" a="1"/>
  <c r="E993" i="1" s="1"/>
  <c r="F993" i="1"/>
  <c r="A994" i="1"/>
  <c r="B994" i="1"/>
  <c r="D994" i="1"/>
  <c r="E994" i="1" a="1"/>
  <c r="E994" i="1" s="1"/>
  <c r="F994" i="1"/>
  <c r="A995" i="1"/>
  <c r="B995" i="1"/>
  <c r="E995" i="1" a="1"/>
  <c r="E995" i="1" s="1"/>
  <c r="F995" i="1"/>
  <c r="A996" i="1"/>
  <c r="B996" i="1"/>
  <c r="D996" i="1"/>
  <c r="E996" i="1" a="1"/>
  <c r="E996" i="1" s="1"/>
  <c r="F996" i="1"/>
  <c r="H996" i="1" s="1"/>
  <c r="A997" i="1"/>
  <c r="B997" i="1"/>
  <c r="D997" i="1"/>
  <c r="E997" i="1" a="1"/>
  <c r="E997" i="1" s="1"/>
  <c r="F997" i="1"/>
  <c r="A998" i="1"/>
  <c r="B998" i="1"/>
  <c r="D998" i="1"/>
  <c r="E998" i="1" a="1"/>
  <c r="E998" i="1" s="1"/>
  <c r="F998" i="1"/>
  <c r="H998" i="1" s="1"/>
  <c r="A999" i="1"/>
  <c r="B999" i="1"/>
  <c r="D999" i="1"/>
  <c r="E999" i="1" a="1"/>
  <c r="E999" i="1" s="1"/>
  <c r="F999" i="1"/>
  <c r="H999" i="1" s="1"/>
  <c r="A1000" i="1"/>
  <c r="B1000" i="1"/>
  <c r="D1000" i="1"/>
  <c r="E1000" i="1" a="1"/>
  <c r="E1000" i="1" s="1"/>
  <c r="F1000" i="1"/>
  <c r="A2" i="1"/>
  <c r="E2" i="1" a="1"/>
  <c r="E2" i="1" s="1"/>
  <c r="F2" i="1"/>
  <c r="B2" i="1"/>
  <c r="D979" i="1" l="1"/>
  <c r="G979" i="1"/>
  <c r="D877" i="1"/>
  <c r="G877" i="1"/>
  <c r="G611" i="1"/>
  <c r="D611" i="1"/>
  <c r="G539" i="1"/>
  <c r="D539" i="1"/>
  <c r="G499" i="1"/>
  <c r="D499" i="1"/>
  <c r="D289" i="1"/>
  <c r="G289" i="1"/>
  <c r="D273" i="1"/>
  <c r="G273" i="1"/>
  <c r="D53" i="1"/>
  <c r="G53" i="1"/>
  <c r="H53" i="1" s="1"/>
  <c r="H997" i="1"/>
  <c r="H979" i="1"/>
  <c r="H900" i="1"/>
  <c r="H804" i="1"/>
  <c r="H799" i="1"/>
  <c r="H624" i="1"/>
  <c r="H416" i="1"/>
  <c r="H408" i="1"/>
  <c r="D279" i="1"/>
  <c r="G616" i="1"/>
  <c r="G933" i="1"/>
  <c r="H933" i="1" s="1"/>
  <c r="D933" i="1"/>
  <c r="D621" i="1"/>
  <c r="G621" i="1"/>
  <c r="H877" i="1"/>
  <c r="D732" i="1"/>
  <c r="H596" i="1"/>
  <c r="H494" i="1"/>
  <c r="G96" i="1"/>
  <c r="H96" i="1" s="1"/>
  <c r="G268" i="1"/>
  <c r="H268" i="1" s="1"/>
  <c r="G312" i="1"/>
  <c r="G949" i="1"/>
  <c r="D949" i="1"/>
  <c r="D819" i="1"/>
  <c r="G819" i="1"/>
  <c r="D808" i="1"/>
  <c r="G808" i="1"/>
  <c r="H808" i="1" s="1"/>
  <c r="G553" i="1"/>
  <c r="H553" i="1" s="1"/>
  <c r="D553" i="1"/>
  <c r="D799" i="1"/>
  <c r="H301" i="1"/>
  <c r="D39" i="1"/>
  <c r="G976" i="1"/>
  <c r="D976" i="1"/>
  <c r="G563" i="1"/>
  <c r="H563" i="1" s="1"/>
  <c r="D563" i="1"/>
  <c r="D900" i="1"/>
  <c r="D494" i="1"/>
  <c r="D435" i="1"/>
  <c r="G995" i="1"/>
  <c r="H995" i="1" s="1"/>
  <c r="D995" i="1"/>
  <c r="G635" i="1"/>
  <c r="H635" i="1" s="1"/>
  <c r="D635" i="1"/>
  <c r="H916" i="1"/>
  <c r="H880" i="1"/>
  <c r="H836" i="1"/>
  <c r="D836" i="1"/>
  <c r="D430" i="1"/>
  <c r="D301" i="1"/>
  <c r="D111" i="1"/>
  <c r="D103" i="1"/>
  <c r="G32" i="1"/>
  <c r="G987" i="1"/>
  <c r="D987" i="1"/>
  <c r="G941" i="1"/>
  <c r="H941" i="1" s="1"/>
  <c r="D941" i="1"/>
  <c r="G923" i="1"/>
  <c r="D923" i="1"/>
  <c r="G896" i="1"/>
  <c r="H896" i="1" s="1"/>
  <c r="D896" i="1"/>
  <c r="D795" i="1"/>
  <c r="G795" i="1"/>
  <c r="H795" i="1" s="1"/>
  <c r="H621" i="1"/>
  <c r="H982" i="1"/>
  <c r="H949" i="1"/>
  <c r="D882" i="1"/>
  <c r="D804" i="1"/>
  <c r="H636" i="1"/>
  <c r="D11" i="1"/>
  <c r="G736" i="1"/>
  <c r="H736" i="1" s="1"/>
  <c r="G891" i="1"/>
  <c r="H891" i="1" s="1"/>
  <c r="G968" i="1"/>
  <c r="H968" i="1" s="1"/>
  <c r="D968" i="1"/>
  <c r="D744" i="1"/>
  <c r="G744" i="1"/>
  <c r="G667" i="1"/>
  <c r="H667" i="1" s="1"/>
  <c r="D667" i="1"/>
  <c r="D645" i="1"/>
  <c r="G645" i="1"/>
  <c r="H645" i="1" s="1"/>
  <c r="H987" i="1"/>
  <c r="H927" i="1"/>
  <c r="H991" i="1"/>
  <c r="H976" i="1"/>
  <c r="D927" i="1"/>
  <c r="D759" i="1"/>
  <c r="D534" i="1"/>
  <c r="G872" i="1"/>
  <c r="D872" i="1"/>
  <c r="D867" i="1"/>
  <c r="G867" i="1"/>
  <c r="H867" i="1" s="1"/>
  <c r="D800" i="1"/>
  <c r="G800" i="1"/>
  <c r="H800" i="1" s="1"/>
  <c r="H759" i="1"/>
  <c r="H751" i="1"/>
  <c r="H735" i="1"/>
  <c r="H727" i="1"/>
  <c r="H703" i="1"/>
  <c r="D681" i="1"/>
  <c r="H663" i="1"/>
  <c r="D657" i="1"/>
  <c r="H639" i="1"/>
  <c r="H631" i="1"/>
  <c r="H567" i="1"/>
  <c r="H376" i="1"/>
  <c r="H368" i="1"/>
  <c r="H360" i="1"/>
  <c r="H256" i="1"/>
  <c r="H248" i="1"/>
  <c r="H240" i="1"/>
  <c r="H232" i="1"/>
  <c r="H224" i="1"/>
  <c r="H216" i="1"/>
  <c r="H208" i="1"/>
  <c r="H200" i="1"/>
  <c r="H192" i="1"/>
  <c r="H184" i="1"/>
  <c r="H176" i="1"/>
  <c r="H120" i="1"/>
  <c r="H112" i="1"/>
  <c r="H104" i="1"/>
  <c r="H88" i="1"/>
  <c r="G517" i="1"/>
  <c r="H517" i="1" s="1"/>
  <c r="H219" i="1"/>
  <c r="G214" i="1"/>
  <c r="H214" i="1"/>
  <c r="G763" i="1"/>
  <c r="G773" i="1"/>
  <c r="H773" i="1" s="1"/>
  <c r="G915" i="1"/>
  <c r="H963" i="1"/>
  <c r="H947" i="1"/>
  <c r="H923" i="1"/>
  <c r="H915" i="1"/>
  <c r="H907" i="1"/>
  <c r="H883" i="1"/>
  <c r="H859" i="1"/>
  <c r="H851" i="1"/>
  <c r="H835" i="1"/>
  <c r="H827" i="1"/>
  <c r="H819" i="1"/>
  <c r="H811" i="1"/>
  <c r="H803" i="1"/>
  <c r="H763" i="1"/>
  <c r="H755" i="1"/>
  <c r="D749" i="1"/>
  <c r="H739" i="1"/>
  <c r="H707" i="1"/>
  <c r="H396" i="1"/>
  <c r="H388" i="1"/>
  <c r="H380" i="1"/>
  <c r="H372" i="1"/>
  <c r="H364" i="1"/>
  <c r="H316" i="1"/>
  <c r="H308" i="1"/>
  <c r="H300" i="1"/>
  <c r="H292" i="1"/>
  <c r="H284" i="1"/>
  <c r="H276" i="1"/>
  <c r="H260" i="1"/>
  <c r="H252" i="1"/>
  <c r="H244" i="1"/>
  <c r="H236" i="1"/>
  <c r="H228" i="1"/>
  <c r="H220" i="1"/>
  <c r="H212" i="1"/>
  <c r="H204" i="1"/>
  <c r="H196" i="1"/>
  <c r="H188" i="1"/>
  <c r="H180" i="1"/>
  <c r="H172" i="1"/>
  <c r="H164" i="1"/>
  <c r="H156" i="1"/>
  <c r="H148" i="1"/>
  <c r="H140" i="1"/>
  <c r="H132" i="1"/>
  <c r="H124" i="1"/>
  <c r="H116" i="1"/>
  <c r="H108" i="1"/>
  <c r="H100" i="1"/>
  <c r="H92" i="1"/>
  <c r="H84" i="1"/>
  <c r="G321" i="1"/>
  <c r="H918" i="1"/>
  <c r="H910" i="1"/>
  <c r="D904" i="1"/>
  <c r="H822" i="1"/>
  <c r="H814" i="1"/>
  <c r="D768" i="1"/>
  <c r="H566" i="1"/>
  <c r="D522" i="1"/>
  <c r="H279" i="1"/>
  <c r="H223" i="1"/>
  <c r="H215" i="1"/>
  <c r="H207" i="1"/>
  <c r="H199" i="1"/>
  <c r="H183" i="1"/>
  <c r="H175" i="1"/>
  <c r="H167" i="1"/>
  <c r="H159" i="1"/>
  <c r="H151" i="1"/>
  <c r="H143" i="1"/>
  <c r="H127" i="1"/>
  <c r="H119" i="1"/>
  <c r="H111" i="1"/>
  <c r="H103" i="1"/>
  <c r="H95" i="1"/>
  <c r="H87" i="1"/>
  <c r="G691" i="1"/>
  <c r="H691" i="1" s="1"/>
  <c r="H974" i="1"/>
  <c r="H897" i="1"/>
  <c r="H865" i="1"/>
  <c r="H785" i="1"/>
  <c r="D739" i="1"/>
  <c r="H539" i="1"/>
  <c r="H499" i="1"/>
  <c r="G5" i="1"/>
  <c r="D5" i="1"/>
  <c r="G3" i="1"/>
  <c r="D3" i="1"/>
  <c r="H5" i="1"/>
  <c r="D2" i="1"/>
  <c r="G2" i="1"/>
  <c r="H2" i="1" s="1"/>
  <c r="H586" i="1"/>
  <c r="H970" i="1"/>
  <c r="H138" i="1"/>
  <c r="H938" i="1"/>
  <c r="H690" i="1"/>
  <c r="H674" i="1"/>
  <c r="H666" i="1"/>
  <c r="H658" i="1"/>
  <c r="H650" i="1"/>
  <c r="H609" i="1"/>
  <c r="H537" i="1"/>
  <c r="H305" i="1"/>
  <c r="H297" i="1"/>
  <c r="H289" i="1"/>
  <c r="H281" i="1"/>
  <c r="H273" i="1"/>
  <c r="H170" i="1"/>
  <c r="H162" i="1"/>
  <c r="H146" i="1"/>
  <c r="H130" i="1"/>
  <c r="H954" i="1"/>
  <c r="H890" i="1"/>
  <c r="H874" i="1"/>
  <c r="H634" i="1"/>
  <c r="H626" i="1"/>
  <c r="H473" i="1"/>
  <c r="H465" i="1"/>
  <c r="H362" i="1"/>
  <c r="H354" i="1"/>
  <c r="H346" i="1"/>
  <c r="H338" i="1"/>
  <c r="H330" i="1"/>
  <c r="H322" i="1"/>
  <c r="H49" i="1"/>
  <c r="H962" i="1"/>
  <c r="H585" i="1"/>
  <c r="H457" i="1"/>
  <c r="H178" i="1"/>
  <c r="H154" i="1"/>
  <c r="H617" i="1"/>
  <c r="H953" i="1"/>
  <c r="H937" i="1"/>
  <c r="H826" i="1"/>
  <c r="H818" i="1"/>
  <c r="H810" i="1"/>
  <c r="H577" i="1"/>
  <c r="H449" i="1"/>
  <c r="H441" i="1"/>
  <c r="H417" i="1"/>
  <c r="H433" i="1"/>
  <c r="H425" i="1"/>
  <c r="H393" i="1"/>
  <c r="H378" i="1"/>
  <c r="H314" i="1"/>
  <c r="H265" i="1"/>
  <c r="H122" i="1"/>
  <c r="H114" i="1"/>
  <c r="H106" i="1"/>
  <c r="H98" i="1"/>
  <c r="H90" i="1"/>
  <c r="H993" i="1"/>
  <c r="H985" i="1"/>
  <c r="H977" i="1"/>
  <c r="H960" i="1"/>
  <c r="H946" i="1"/>
  <c r="H894" i="1"/>
  <c r="H882" i="1"/>
  <c r="H857" i="1"/>
  <c r="H854" i="1"/>
  <c r="H846" i="1"/>
  <c r="H838" i="1"/>
  <c r="H830" i="1"/>
  <c r="H794" i="1"/>
  <c r="H777" i="1"/>
  <c r="H766" i="1"/>
  <c r="H758" i="1"/>
  <c r="H750" i="1"/>
  <c r="H742" i="1"/>
  <c r="H734" i="1"/>
  <c r="H726" i="1"/>
  <c r="H718" i="1"/>
  <c r="H704" i="1"/>
  <c r="H680" i="1"/>
  <c r="H664" i="1"/>
  <c r="H656" i="1"/>
  <c r="H601" i="1"/>
  <c r="H584" i="1"/>
  <c r="H384" i="1"/>
  <c r="H306" i="1"/>
  <c r="H298" i="1"/>
  <c r="H249" i="1"/>
  <c r="H241" i="1"/>
  <c r="H233" i="1"/>
  <c r="H225" i="1"/>
  <c r="H217" i="1"/>
  <c r="H209" i="1"/>
  <c r="H201" i="1"/>
  <c r="H190" i="1"/>
  <c r="H168" i="1"/>
  <c r="H160" i="1"/>
  <c r="H152" i="1"/>
  <c r="H144" i="1"/>
  <c r="H136" i="1"/>
  <c r="H128" i="1"/>
  <c r="H82" i="1"/>
  <c r="H74" i="1"/>
  <c r="H66" i="1"/>
  <c r="H58" i="1"/>
  <c r="H50" i="1"/>
  <c r="H42" i="1"/>
  <c r="H34" i="1"/>
  <c r="H26" i="1"/>
  <c r="H18" i="1"/>
  <c r="H10" i="1"/>
  <c r="H1001" i="1"/>
  <c r="H761" i="1"/>
  <c r="H753" i="1"/>
  <c r="H745" i="1"/>
  <c r="H721" i="1"/>
  <c r="H593" i="1"/>
  <c r="H185" i="1"/>
  <c r="H969" i="1"/>
  <c r="H966" i="1"/>
  <c r="H952" i="1"/>
  <c r="H944" i="1"/>
  <c r="H922" i="1"/>
  <c r="H914" i="1"/>
  <c r="H906" i="1"/>
  <c r="H866" i="1"/>
  <c r="H825" i="1"/>
  <c r="H817" i="1"/>
  <c r="H806" i="1"/>
  <c r="H713" i="1"/>
  <c r="H702" i="1"/>
  <c r="H694" i="1"/>
  <c r="H686" i="1"/>
  <c r="H678" i="1"/>
  <c r="H670" i="1"/>
  <c r="H662" i="1"/>
  <c r="H654" i="1"/>
  <c r="H646" i="1"/>
  <c r="H638" i="1"/>
  <c r="H616" i="1"/>
  <c r="H610" i="1"/>
  <c r="H576" i="1"/>
  <c r="H561" i="1"/>
  <c r="H518" i="1"/>
  <c r="H489" i="1"/>
  <c r="H409" i="1"/>
  <c r="H394" i="1"/>
  <c r="H382" i="1"/>
  <c r="H361" i="1"/>
  <c r="H353" i="1"/>
  <c r="H345" i="1"/>
  <c r="H337" i="1"/>
  <c r="H326" i="1"/>
  <c r="H318" i="1"/>
  <c r="H312" i="1"/>
  <c r="H304" i="1"/>
  <c r="H296" i="1"/>
  <c r="H266" i="1"/>
  <c r="H258" i="1"/>
  <c r="H177" i="1"/>
  <c r="H158" i="1"/>
  <c r="H142" i="1"/>
  <c r="H134" i="1"/>
  <c r="H849" i="1"/>
  <c r="H841" i="1"/>
  <c r="H769" i="1"/>
  <c r="H570" i="1"/>
  <c r="H497" i="1"/>
  <c r="H290" i="1"/>
  <c r="H193" i="1"/>
  <c r="H1000" i="1"/>
  <c r="H994" i="1"/>
  <c r="H986" i="1"/>
  <c r="H978" i="1"/>
  <c r="H961" i="1"/>
  <c r="H958" i="1"/>
  <c r="H936" i="1"/>
  <c r="H898" i="1"/>
  <c r="H872" i="1"/>
  <c r="H858" i="1"/>
  <c r="H809" i="1"/>
  <c r="H798" i="1"/>
  <c r="H778" i="1"/>
  <c r="H705" i="1"/>
  <c r="H697" i="1"/>
  <c r="H689" i="1"/>
  <c r="H681" i="1"/>
  <c r="H673" i="1"/>
  <c r="H665" i="1"/>
  <c r="H657" i="1"/>
  <c r="H649" i="1"/>
  <c r="H641" i="1"/>
  <c r="H630" i="1"/>
  <c r="H622" i="1"/>
  <c r="H602" i="1"/>
  <c r="H550" i="1"/>
  <c r="H521" i="1"/>
  <c r="H478" i="1"/>
  <c r="H456" i="1"/>
  <c r="H385" i="1"/>
  <c r="H374" i="1"/>
  <c r="H329" i="1"/>
  <c r="H321" i="1"/>
  <c r="H288" i="1"/>
  <c r="H280" i="1"/>
  <c r="H272" i="1"/>
  <c r="H250" i="1"/>
  <c r="H242" i="1"/>
  <c r="H234" i="1"/>
  <c r="H226" i="1"/>
  <c r="H218" i="1"/>
  <c r="H210" i="1"/>
  <c r="H202" i="1"/>
  <c r="H153" i="1"/>
  <c r="H137" i="1"/>
  <c r="H129" i="1"/>
  <c r="H126" i="1"/>
  <c r="H118" i="1"/>
  <c r="H110" i="1"/>
  <c r="H102" i="1"/>
  <c r="H94" i="1"/>
  <c r="H86" i="1"/>
  <c r="H786" i="1"/>
  <c r="H737" i="1"/>
  <c r="H729" i="1"/>
  <c r="H370" i="1"/>
  <c r="H282" i="1"/>
  <c r="H274" i="1"/>
  <c r="H950" i="1"/>
  <c r="H942" i="1"/>
  <c r="H928" i="1"/>
  <c r="H920" i="1"/>
  <c r="H912" i="1"/>
  <c r="H864" i="1"/>
  <c r="H842" i="1"/>
  <c r="H834" i="1"/>
  <c r="H790" i="1"/>
  <c r="H784" i="1"/>
  <c r="H762" i="1"/>
  <c r="H754" i="1"/>
  <c r="H746" i="1"/>
  <c r="H730" i="1"/>
  <c r="H722" i="1"/>
  <c r="H633" i="1"/>
  <c r="H625" i="1"/>
  <c r="H608" i="1"/>
  <c r="H594" i="1"/>
  <c r="H545" i="1"/>
  <c r="H510" i="1"/>
  <c r="H481" i="1"/>
  <c r="H470" i="1"/>
  <c r="H448" i="1"/>
  <c r="H440" i="1"/>
  <c r="H432" i="1"/>
  <c r="H424" i="1"/>
  <c r="H401" i="1"/>
  <c r="H392" i="1"/>
  <c r="H377" i="1"/>
  <c r="H313" i="1"/>
  <c r="H310" i="1"/>
  <c r="H302" i="1"/>
  <c r="H294" i="1"/>
  <c r="H264" i="1"/>
  <c r="H194" i="1"/>
  <c r="H121" i="1"/>
  <c r="H113" i="1"/>
  <c r="H105" i="1"/>
  <c r="H97" i="1"/>
  <c r="H89" i="1"/>
  <c r="H78" i="1"/>
  <c r="H70" i="1"/>
  <c r="H62" i="1"/>
  <c r="H54" i="1"/>
  <c r="H46" i="1"/>
  <c r="H38" i="1"/>
  <c r="H30" i="1"/>
  <c r="H22" i="1"/>
  <c r="H14" i="1"/>
  <c r="H6" i="1"/>
  <c r="H921" i="1"/>
  <c r="H888" i="1"/>
  <c r="H905" i="1"/>
  <c r="H904" i="1"/>
  <c r="H824" i="1"/>
  <c r="H793" i="1"/>
  <c r="H738" i="1"/>
  <c r="H613" i="1"/>
  <c r="H605" i="1"/>
  <c r="H597" i="1"/>
  <c r="H589" i="1"/>
  <c r="H581" i="1"/>
  <c r="H573" i="1"/>
  <c r="H562" i="1"/>
  <c r="H554" i="1"/>
  <c r="H546" i="1"/>
  <c r="H538" i="1"/>
  <c r="H530" i="1"/>
  <c r="H522" i="1"/>
  <c r="H514" i="1"/>
  <c r="H506" i="1"/>
  <c r="H498" i="1"/>
  <c r="H490" i="1"/>
  <c r="H482" i="1"/>
  <c r="H474" i="1"/>
  <c r="H466" i="1"/>
  <c r="H459" i="1"/>
  <c r="H435" i="1"/>
  <c r="H411" i="1"/>
  <c r="H881" i="1"/>
  <c r="H850" i="1"/>
  <c r="H590" i="1"/>
  <c r="H582" i="1"/>
  <c r="H574" i="1"/>
  <c r="H555" i="1"/>
  <c r="H547" i="1"/>
  <c r="H531" i="1"/>
  <c r="H779" i="1"/>
  <c r="H615" i="1"/>
  <c r="H607" i="1"/>
  <c r="H599" i="1"/>
  <c r="H591" i="1"/>
  <c r="H583" i="1"/>
  <c r="H575" i="1"/>
  <c r="H564" i="1"/>
  <c r="H556" i="1"/>
  <c r="H548" i="1"/>
  <c r="H540" i="1"/>
  <c r="H532" i="1"/>
  <c r="H524" i="1"/>
  <c r="H516" i="1"/>
  <c r="H508" i="1"/>
  <c r="H500" i="1"/>
  <c r="H492" i="1"/>
  <c r="H484" i="1"/>
  <c r="H476" i="1"/>
  <c r="H468" i="1"/>
  <c r="H455" i="1"/>
  <c r="H443" i="1"/>
  <c r="H431" i="1"/>
  <c r="H419" i="1"/>
  <c r="H731" i="1"/>
  <c r="H558" i="1"/>
  <c r="H542" i="1"/>
  <c r="H534" i="1"/>
  <c r="H502" i="1"/>
  <c r="H945" i="1"/>
  <c r="H929" i="1"/>
  <c r="H913" i="1"/>
  <c r="H885" i="1"/>
  <c r="H843" i="1"/>
  <c r="H787" i="1"/>
  <c r="H747" i="1"/>
  <c r="H652" i="1"/>
  <c r="H642" i="1"/>
  <c r="H619" i="1"/>
  <c r="H611" i="1"/>
  <c r="H603" i="1"/>
  <c r="H595" i="1"/>
  <c r="H587" i="1"/>
  <c r="H579" i="1"/>
  <c r="H568" i="1"/>
  <c r="H560" i="1"/>
  <c r="H552" i="1"/>
  <c r="H544" i="1"/>
  <c r="H536" i="1"/>
  <c r="H528" i="1"/>
  <c r="H520" i="1"/>
  <c r="H512" i="1"/>
  <c r="H504" i="1"/>
  <c r="H496" i="1"/>
  <c r="H488" i="1"/>
  <c r="H480" i="1"/>
  <c r="H472" i="1"/>
  <c r="H464" i="1"/>
  <c r="H458" i="1"/>
  <c r="H450" i="1"/>
  <c r="H442" i="1"/>
  <c r="H434" i="1"/>
  <c r="H426" i="1"/>
  <c r="H418" i="1"/>
  <c r="H410" i="1"/>
  <c r="H189" i="1"/>
  <c r="H133" i="1"/>
  <c r="H461" i="1"/>
  <c r="H437" i="1"/>
  <c r="H429" i="1"/>
  <c r="H421" i="1"/>
  <c r="H462" i="1"/>
  <c r="H454" i="1"/>
  <c r="H446" i="1"/>
  <c r="H438" i="1"/>
  <c r="H430" i="1"/>
  <c r="H422" i="1"/>
  <c r="H414" i="1"/>
  <c r="H406" i="1"/>
  <c r="H191" i="1"/>
  <c r="H186" i="1"/>
  <c r="H150" i="1"/>
  <c r="H135" i="1"/>
  <c r="H182" i="1"/>
  <c r="H166" i="1"/>
  <c r="H161" i="1"/>
  <c r="H157" i="1"/>
  <c r="H145" i="1"/>
  <c r="H141" i="1"/>
  <c r="H744" i="1"/>
  <c r="H682" i="1"/>
  <c r="H833" i="1"/>
  <c r="H801" i="1"/>
  <c r="H714" i="1"/>
  <c r="H688" i="1"/>
  <c r="H847" i="1"/>
  <c r="H815" i="1"/>
  <c r="H768" i="1"/>
  <c r="H698" i="1"/>
  <c r="H792" i="1"/>
  <c r="H831" i="1"/>
  <c r="H776" i="1"/>
  <c r="H712" i="1"/>
  <c r="H640" i="1"/>
  <c r="H355" i="1"/>
  <c r="H347" i="1"/>
  <c r="H339" i="1"/>
  <c r="H331" i="1"/>
  <c r="H323" i="1"/>
  <c r="H356" i="1"/>
  <c r="H348" i="1"/>
  <c r="H340" i="1"/>
  <c r="H332" i="1"/>
  <c r="H324" i="1"/>
  <c r="H648" i="1"/>
  <c r="H672" i="1"/>
  <c r="H696" i="1"/>
  <c r="H632" i="1"/>
  <c r="H357" i="1"/>
  <c r="H349" i="1"/>
  <c r="H341" i="1"/>
  <c r="H333" i="1"/>
  <c r="H325" i="1"/>
  <c r="H317" i="1"/>
  <c r="H351" i="1"/>
  <c r="H343" i="1"/>
  <c r="H335" i="1"/>
  <c r="H327" i="1"/>
  <c r="H319" i="1"/>
  <c r="H352" i="1"/>
  <c r="H344" i="1"/>
  <c r="H336" i="1"/>
  <c r="H328" i="1"/>
  <c r="H320" i="1"/>
  <c r="H83" i="1"/>
  <c r="H79" i="1"/>
  <c r="H75" i="1"/>
  <c r="H71" i="1"/>
  <c r="H67" i="1"/>
  <c r="H63" i="1"/>
  <c r="H59" i="1"/>
  <c r="H55" i="1"/>
  <c r="H51" i="1"/>
  <c r="H47" i="1"/>
  <c r="H43" i="1"/>
  <c r="H39" i="1"/>
  <c r="H35" i="1"/>
  <c r="H31" i="1"/>
  <c r="H27" i="1"/>
  <c r="H23" i="1"/>
  <c r="H19" i="1"/>
  <c r="H15" i="1"/>
  <c r="H11" i="1"/>
  <c r="H7" i="1"/>
  <c r="H3" i="1"/>
  <c r="H80" i="1"/>
  <c r="H76" i="1"/>
  <c r="H72" i="1"/>
  <c r="H68" i="1"/>
  <c r="H64" i="1"/>
  <c r="H60" i="1"/>
  <c r="H56" i="1"/>
  <c r="H52" i="1"/>
  <c r="H48" i="1"/>
  <c r="H44" i="1"/>
  <c r="H40" i="1"/>
  <c r="H36" i="1"/>
  <c r="H32" i="1"/>
  <c r="H28" i="1"/>
  <c r="H24" i="1"/>
  <c r="H20" i="1"/>
  <c r="H16" i="1"/>
  <c r="H12" i="1"/>
  <c r="H8" i="1"/>
  <c r="H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<sst xmlns="http://schemas.openxmlformats.org/spreadsheetml/2006/main" count="34" uniqueCount="28">
  <si>
    <t>OrderID</t>
  </si>
  <si>
    <t>OrderDate</t>
  </si>
  <si>
    <t>Product</t>
  </si>
  <si>
    <t>Category</t>
  </si>
  <si>
    <t>Region</t>
  </si>
  <si>
    <t>Quantity</t>
  </si>
  <si>
    <t>UnitPrice</t>
  </si>
  <si>
    <t>Revenue</t>
  </si>
  <si>
    <t>Home Jersey</t>
  </si>
  <si>
    <t>Away Jersey</t>
  </si>
  <si>
    <t>Third Jersey</t>
  </si>
  <si>
    <t>Scarf</t>
  </si>
  <si>
    <t>Hat</t>
  </si>
  <si>
    <t>Football</t>
  </si>
  <si>
    <t>Training Top</t>
  </si>
  <si>
    <t>Jacket</t>
  </si>
  <si>
    <t>Price</t>
  </si>
  <si>
    <t>Jerseys</t>
  </si>
  <si>
    <t>Accessories</t>
  </si>
  <si>
    <t>Equipment</t>
  </si>
  <si>
    <t>Training Wear</t>
  </si>
  <si>
    <t>Regions</t>
  </si>
  <si>
    <t>Dublin</t>
  </si>
  <si>
    <t>Cork</t>
  </si>
  <si>
    <t>Galway</t>
  </si>
  <si>
    <t>Limerick</t>
  </si>
  <si>
    <t>Waterford</t>
  </si>
  <si>
    <t>Belfast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</si>
</sst>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20"/>
      <color theme="1"/>
      <name val="Aptos Narrow"/>
      <family val="2"/>
      <scheme val="minor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DE2C5E3-825E-3846-8B97-3B2BD252E9AB}" name="Table2" displayName="Table2" ref="A1:C9" totalsRowShown="0" headerRowDxfId="0">
  <autoFilter ref="A1:C9" xr:uid="{7DE2C5E3-825E-3846-8B97-3B2BD252E9AB}"/>
  <tableColumns count="3">
    <tableColumn id="1" xr3:uid="{F041DC27-7401-384E-9F58-B63ABBB5C1D4}" name="Product"/>
    <tableColumn id="2" xr3:uid="{BE7ADFA7-D8E0-7547-B14A-9C2BFCB79A4D}" name="Category"/>
    <tableColumn id="3" xr3:uid="{3426DE9A-1761-534C-8507-89BBCA1A9DD6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3F9FD-FA7B-F642-BC56-BD69BBEEFE8F}">
  <dimension ref="A1:H1001"/>
  <sheetViews>
    <sheetView tabSelected="1" workbookViewId="0">
      <selection activeCell="K6" sqref="K6"/>
    </sheetView>
  </sheetViews>
  <sheetFormatPr baseColWidth="10" defaultRowHeight="27" x14ac:dyDescent="0.35"/>
  <cols>
    <col min="1" max="1" width="7.5" bestFit="1" customWidth="1"/>
    <col min="2" max="2" width="10.09765625" bestFit="1" customWidth="1"/>
    <col min="3" max="3" width="11.296875" customWidth="1"/>
    <col min="4" max="4" width="13.3984375" customWidth="1"/>
    <col min="5" max="5" width="9.69921875" customWidth="1"/>
    <col min="6" max="6" width="7.8984375" bestFit="1" customWidth="1"/>
    <col min="7" max="7" width="8.59765625" bestFit="1" customWidth="1"/>
    <col min="8" max="8" width="11.69921875" customWidth="1"/>
  </cols>
  <sheetData>
    <row r="1" spans="1:8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>
        <f>ROW()+999</f>
        <v>1001</v>
      </c>
      <c r="B2" s="2">
        <f ca="1">DATE(2024,1,1)+RANDBETWEEN(0,730)</f>
        <v>45606</v>
      </c>
      <c r="C2" t="str" cm="1">
        <f t="array" aca="1" ref="C2" ca="1">INDEX(Products!$A$2:$A$9,RANDBETWEEN(1,8))</f>
        <v>Training Top</v>
      </c>
      <c r="D2" t="str">
        <f ca="1">_xlfn.XLOOKUP(C2,Products!A:A,Products!B:B)</f>
        <v>Training Wear</v>
      </c>
      <c r="E2" t="str" cm="1">
        <f t="array" aca="1" ref="E2" ca="1">INDEX(Regions!$A$2:$A$7,RANDBETWEEN(1,6))</f>
        <v>Cork</v>
      </c>
      <c r="F2">
        <f ca="1">RANDBETWEEN(1,5)</f>
        <v>2</v>
      </c>
      <c r="G2">
        <f ca="1">VLOOKUP(C2,Products!$A$2:$C$9,3,FALSE)</f>
        <v>55</v>
      </c>
      <c r="H2">
        <f ca="1">F2*G2</f>
        <v>110</v>
      </c>
    </row>
    <row r="3" spans="1:8" x14ac:dyDescent="0.35">
      <c r="A3">
        <f t="shared" ref="A3:A66" si="0">ROW()+999</f>
        <v>1002</v>
      </c>
      <c r="B3" s="2">
        <f t="shared" ref="B3:B66" ca="1" si="1">DATE(2024,1,1)+RANDBETWEEN(0,730)</f>
        <v>45948</v>
      </c>
      <c r="C3" t="str" cm="1">
        <f t="array" aca="1" ref="C3" ca="1">INDEX(Products!$A$2:$A$9,RANDBETWEEN(1,8))</f>
        <v>Jacket</v>
      </c>
      <c r="D3" t="str">
        <f ca="1">_xlfn.XLOOKUP(C3,Products!A:A,Products!B:B)</f>
        <v>Training Wear</v>
      </c>
      <c r="E3" t="str" cm="1">
        <f t="array" aca="1" ref="E3" ca="1">INDEX(Regions!$A$2:$A$7,RANDBETWEEN(1,6))</f>
        <v>Cork</v>
      </c>
      <c r="F3">
        <f t="shared" ref="F3:F66" ca="1" si="2">RANDBETWEEN(1,5)</f>
        <v>5</v>
      </c>
      <c r="G3">
        <f ca="1">VLOOKUP(C3,Products!$A$2:$C$9,3,FALSE)</f>
        <v>90</v>
      </c>
      <c r="H3">
        <f t="shared" ref="H3:H66" ca="1" si="3">F3*G3</f>
        <v>450</v>
      </c>
    </row>
    <row r="4" spans="1:8" x14ac:dyDescent="0.35">
      <c r="A4">
        <f t="shared" si="0"/>
        <v>1003</v>
      </c>
      <c r="B4" s="2">
        <f t="shared" ca="1" si="1"/>
        <v>45350</v>
      </c>
      <c r="C4" t="str" cm="1">
        <f t="array" aca="1" ref="C4" ca="1">INDEX(Products!$A$2:$A$9,RANDBETWEEN(1,8))</f>
        <v>Hat</v>
      </c>
      <c r="D4" t="str">
        <f ca="1">_xlfn.XLOOKUP(C4,Products!A:A,Products!B:B)</f>
        <v>Accessories</v>
      </c>
      <c r="E4" t="str" cm="1">
        <f t="array" aca="1" ref="E4" ca="1">INDEX(Regions!$A$2:$A$7,RANDBETWEEN(1,6))</f>
        <v>Cork</v>
      </c>
      <c r="F4">
        <f t="shared" ca="1" si="2"/>
        <v>2</v>
      </c>
      <c r="G4">
        <f ca="1">VLOOKUP(C4,Products!$A$2:$C$9,3,FALSE)</f>
        <v>25</v>
      </c>
      <c r="H4">
        <f t="shared" ca="1" si="3"/>
        <v>50</v>
      </c>
    </row>
    <row r="5" spans="1:8" x14ac:dyDescent="0.35">
      <c r="A5">
        <f t="shared" si="0"/>
        <v>1004</v>
      </c>
      <c r="B5" s="2">
        <f t="shared" ca="1" si="1"/>
        <v>45546</v>
      </c>
      <c r="C5" t="str" cm="1">
        <f t="array" aca="1" ref="C5" ca="1">INDEX(Products!$A$2:$A$9,RANDBETWEEN(1,8))</f>
        <v>Training Top</v>
      </c>
      <c r="D5" t="str">
        <f ca="1">_xlfn.XLOOKUP(C5,Products!A:A,Products!B:B)</f>
        <v>Training Wear</v>
      </c>
      <c r="E5" t="str" cm="1">
        <f t="array" aca="1" ref="E5" ca="1">INDEX(Regions!$A$2:$A$7,RANDBETWEEN(1,6))</f>
        <v>Belfast</v>
      </c>
      <c r="F5">
        <f t="shared" ca="1" si="2"/>
        <v>3</v>
      </c>
      <c r="G5">
        <f ca="1">VLOOKUP(C5,Products!$A$2:$C$9,3,FALSE)</f>
        <v>55</v>
      </c>
      <c r="H5">
        <f t="shared" ca="1" si="3"/>
        <v>165</v>
      </c>
    </row>
    <row r="6" spans="1:8" x14ac:dyDescent="0.35">
      <c r="A6">
        <f t="shared" si="0"/>
        <v>1005</v>
      </c>
      <c r="B6" s="2">
        <f t="shared" ca="1" si="1"/>
        <v>45883</v>
      </c>
      <c r="C6" t="str" cm="1">
        <f t="array" aca="1" ref="C6" ca="1">INDEX(Products!$A$2:$A$9,RANDBETWEEN(1,8))</f>
        <v>Training Top</v>
      </c>
      <c r="D6" t="str">
        <f ca="1">_xlfn.XLOOKUP(C6,Products!A:A,Products!B:B)</f>
        <v>Training Wear</v>
      </c>
      <c r="E6" t="str" cm="1">
        <f t="array" aca="1" ref="E6" ca="1">INDEX(Regions!$A$2:$A$7,RANDBETWEEN(1,6))</f>
        <v>Belfast</v>
      </c>
      <c r="F6">
        <f t="shared" ca="1" si="2"/>
        <v>2</v>
      </c>
      <c r="G6">
        <f ca="1">VLOOKUP(C6,Products!$A$2:$C$9,3,FALSE)</f>
        <v>55</v>
      </c>
      <c r="H6">
        <f t="shared" ca="1" si="3"/>
        <v>110</v>
      </c>
    </row>
    <row r="7" spans="1:8" x14ac:dyDescent="0.35">
      <c r="A7">
        <f t="shared" si="0"/>
        <v>1006</v>
      </c>
      <c r="B7" s="2">
        <f t="shared" ca="1" si="1"/>
        <v>45857</v>
      </c>
      <c r="C7" t="str" cm="1">
        <f t="array" aca="1" ref="C7" ca="1">INDEX(Products!$A$2:$A$9,RANDBETWEEN(1,8))</f>
        <v>Football</v>
      </c>
      <c r="D7" t="str">
        <f ca="1">_xlfn.XLOOKUP(C7,Products!A:A,Products!B:B)</f>
        <v>Equipment</v>
      </c>
      <c r="E7" t="str" cm="1">
        <f t="array" aca="1" ref="E7" ca="1">INDEX(Regions!$A$2:$A$7,RANDBETWEEN(1,6))</f>
        <v>Galway</v>
      </c>
      <c r="F7">
        <f t="shared" ca="1" si="2"/>
        <v>1</v>
      </c>
      <c r="G7">
        <f ca="1">VLOOKUP(C7,Products!$A$2:$C$9,3,FALSE)</f>
        <v>30</v>
      </c>
      <c r="H7">
        <f t="shared" ca="1" si="3"/>
        <v>30</v>
      </c>
    </row>
    <row r="8" spans="1:8" x14ac:dyDescent="0.35">
      <c r="A8">
        <f t="shared" si="0"/>
        <v>1007</v>
      </c>
      <c r="B8" s="2">
        <f t="shared" ca="1" si="1"/>
        <v>45930</v>
      </c>
      <c r="C8" t="str" cm="1">
        <f t="array" aca="1" ref="C8" ca="1">INDEX(Products!$A$2:$A$9,RANDBETWEEN(1,8))</f>
        <v>Football</v>
      </c>
      <c r="D8" t="str">
        <f ca="1">_xlfn.XLOOKUP(C8,Products!A:A,Products!B:B)</f>
        <v>Equipment</v>
      </c>
      <c r="E8" t="str" cm="1">
        <f t="array" aca="1" ref="E8" ca="1">INDEX(Regions!$A$2:$A$7,RANDBETWEEN(1,6))</f>
        <v>Galway</v>
      </c>
      <c r="F8">
        <f t="shared" ca="1" si="2"/>
        <v>3</v>
      </c>
      <c r="G8">
        <f ca="1">VLOOKUP(C8,Products!$A$2:$C$9,3,FALSE)</f>
        <v>30</v>
      </c>
      <c r="H8">
        <f t="shared" ca="1" si="3"/>
        <v>90</v>
      </c>
    </row>
    <row r="9" spans="1:8" x14ac:dyDescent="0.35">
      <c r="A9">
        <f t="shared" si="0"/>
        <v>1008</v>
      </c>
      <c r="B9" s="2">
        <f t="shared" ca="1" si="1"/>
        <v>45317</v>
      </c>
      <c r="C9" t="str" cm="1">
        <f t="array" aca="1" ref="C9" ca="1">INDEX(Products!$A$2:$A$9,RANDBETWEEN(1,8))</f>
        <v>Away Jersey</v>
      </c>
      <c r="D9" t="str">
        <f ca="1">_xlfn.XLOOKUP(C9,Products!A:A,Products!B:B)</f>
        <v>Jerseys</v>
      </c>
      <c r="E9" t="str" cm="1">
        <f t="array" aca="1" ref="E9" ca="1">INDEX(Regions!$A$2:$A$7,RANDBETWEEN(1,6))</f>
        <v>Cork</v>
      </c>
      <c r="F9">
        <f t="shared" ca="1" si="2"/>
        <v>2</v>
      </c>
      <c r="G9">
        <f ca="1">VLOOKUP(C9,Products!$A$2:$C$9,3,FALSE)</f>
        <v>80</v>
      </c>
      <c r="H9">
        <f t="shared" ca="1" si="3"/>
        <v>160</v>
      </c>
    </row>
    <row r="10" spans="1:8" x14ac:dyDescent="0.35">
      <c r="A10">
        <f t="shared" si="0"/>
        <v>1009</v>
      </c>
      <c r="B10" s="2">
        <f t="shared" ca="1" si="1"/>
        <v>45875</v>
      </c>
      <c r="C10" t="str" cm="1">
        <f t="array" aca="1" ref="C10" ca="1">INDEX(Products!$A$2:$A$9,RANDBETWEEN(1,8))</f>
        <v>Football</v>
      </c>
      <c r="D10" t="str">
        <f ca="1">_xlfn.XLOOKUP(C10,Products!A:A,Products!B:B)</f>
        <v>Equipment</v>
      </c>
      <c r="E10" t="str" cm="1">
        <f t="array" aca="1" ref="E10" ca="1">INDEX(Regions!$A$2:$A$7,RANDBETWEEN(1,6))</f>
        <v>Cork</v>
      </c>
      <c r="F10">
        <f t="shared" ca="1" si="2"/>
        <v>4</v>
      </c>
      <c r="G10">
        <f ca="1">VLOOKUP(C10,Products!$A$2:$C$9,3,FALSE)</f>
        <v>30</v>
      </c>
      <c r="H10">
        <f t="shared" ca="1" si="3"/>
        <v>120</v>
      </c>
    </row>
    <row r="11" spans="1:8" x14ac:dyDescent="0.35">
      <c r="A11">
        <f t="shared" si="0"/>
        <v>1010</v>
      </c>
      <c r="B11" s="2">
        <f t="shared" ca="1" si="1"/>
        <v>45580</v>
      </c>
      <c r="C11" t="str" cm="1">
        <f t="array" aca="1" ref="C11" ca="1">INDEX(Products!$A$2:$A$9,RANDBETWEEN(1,8))</f>
        <v>Home Jersey</v>
      </c>
      <c r="D11" t="str">
        <f ca="1">_xlfn.XLOOKUP(C11,Products!A:A,Products!B:B)</f>
        <v>Jerseys</v>
      </c>
      <c r="E11" t="str" cm="1">
        <f t="array" aca="1" ref="E11" ca="1">INDEX(Regions!$A$2:$A$7,RANDBETWEEN(1,6))</f>
        <v>Belfast</v>
      </c>
      <c r="F11">
        <f t="shared" ca="1" si="2"/>
        <v>1</v>
      </c>
      <c r="G11">
        <f ca="1">VLOOKUP(C11,Products!$A$2:$C$9,3,FALSE)</f>
        <v>80</v>
      </c>
      <c r="H11">
        <f t="shared" ca="1" si="3"/>
        <v>80</v>
      </c>
    </row>
    <row r="12" spans="1:8" x14ac:dyDescent="0.35">
      <c r="A12">
        <f t="shared" si="0"/>
        <v>1011</v>
      </c>
      <c r="B12" s="2">
        <f t="shared" ca="1" si="1"/>
        <v>45514</v>
      </c>
      <c r="C12" t="str" cm="1">
        <f t="array" aca="1" ref="C12" ca="1">INDEX(Products!$A$2:$A$9,RANDBETWEEN(1,8))</f>
        <v>Scarf</v>
      </c>
      <c r="D12" t="str">
        <f ca="1">_xlfn.XLOOKUP(C12,Products!A:A,Products!B:B)</f>
        <v>Accessories</v>
      </c>
      <c r="E12" t="str" cm="1">
        <f t="array" aca="1" ref="E12" ca="1">INDEX(Regions!$A$2:$A$7,RANDBETWEEN(1,6))</f>
        <v>Cork</v>
      </c>
      <c r="F12">
        <f t="shared" ca="1" si="2"/>
        <v>4</v>
      </c>
      <c r="G12">
        <f ca="1">VLOOKUP(C12,Products!$A$2:$C$9,3,FALSE)</f>
        <v>20</v>
      </c>
      <c r="H12">
        <f t="shared" ca="1" si="3"/>
        <v>80</v>
      </c>
    </row>
    <row r="13" spans="1:8" x14ac:dyDescent="0.35">
      <c r="A13">
        <f t="shared" si="0"/>
        <v>1012</v>
      </c>
      <c r="B13" s="2">
        <f t="shared" ca="1" si="1"/>
        <v>45434</v>
      </c>
      <c r="C13" t="str" cm="1">
        <f t="array" aca="1" ref="C13" ca="1">INDEX(Products!$A$2:$A$9,RANDBETWEEN(1,8))</f>
        <v>Third Jersey</v>
      </c>
      <c r="D13" t="str">
        <f ca="1">_xlfn.XLOOKUP(C13,Products!A:A,Products!B:B)</f>
        <v>Jerseys</v>
      </c>
      <c r="E13" t="str" cm="1">
        <f t="array" aca="1" ref="E13" ca="1">INDEX(Regions!$A$2:$A$7,RANDBETWEEN(1,6))</f>
        <v>Limerick</v>
      </c>
      <c r="F13">
        <f t="shared" ca="1" si="2"/>
        <v>2</v>
      </c>
      <c r="G13">
        <f ca="1">VLOOKUP(C13,Products!$A$2:$C$9,3,FALSE)</f>
        <v>85</v>
      </c>
      <c r="H13">
        <f t="shared" ca="1" si="3"/>
        <v>170</v>
      </c>
    </row>
    <row r="14" spans="1:8" x14ac:dyDescent="0.35">
      <c r="A14">
        <f t="shared" si="0"/>
        <v>1013</v>
      </c>
      <c r="B14" s="2">
        <f t="shared" ca="1" si="1"/>
        <v>45886</v>
      </c>
      <c r="C14" t="str" cm="1">
        <f t="array" aca="1" ref="C14" ca="1">INDEX(Products!$A$2:$A$9,RANDBETWEEN(1,8))</f>
        <v>Training Top</v>
      </c>
      <c r="D14" t="str">
        <f ca="1">_xlfn.XLOOKUP(C14,Products!A:A,Products!B:B)</f>
        <v>Training Wear</v>
      </c>
      <c r="E14" t="str" cm="1">
        <f t="array" aca="1" ref="E14" ca="1">INDEX(Regions!$A$2:$A$7,RANDBETWEEN(1,6))</f>
        <v>Waterford</v>
      </c>
      <c r="F14">
        <f t="shared" ca="1" si="2"/>
        <v>4</v>
      </c>
      <c r="G14">
        <f ca="1">VLOOKUP(C14,Products!$A$2:$C$9,3,FALSE)</f>
        <v>55</v>
      </c>
      <c r="H14">
        <f t="shared" ca="1" si="3"/>
        <v>220</v>
      </c>
    </row>
    <row r="15" spans="1:8" x14ac:dyDescent="0.35">
      <c r="A15">
        <f t="shared" si="0"/>
        <v>1014</v>
      </c>
      <c r="B15" s="2">
        <f t="shared" ca="1" si="1"/>
        <v>45322</v>
      </c>
      <c r="C15" t="str" cm="1">
        <f t="array" aca="1" ref="C15" ca="1">INDEX(Products!$A$2:$A$9,RANDBETWEEN(1,8))</f>
        <v>Home Jersey</v>
      </c>
      <c r="D15" t="str">
        <f ca="1">_xlfn.XLOOKUP(C15,Products!A:A,Products!B:B)</f>
        <v>Jerseys</v>
      </c>
      <c r="E15" t="str" cm="1">
        <f t="array" aca="1" ref="E15" ca="1">INDEX(Regions!$A$2:$A$7,RANDBETWEEN(1,6))</f>
        <v>Waterford</v>
      </c>
      <c r="F15">
        <f t="shared" ca="1" si="2"/>
        <v>3</v>
      </c>
      <c r="G15">
        <f ca="1">VLOOKUP(C15,Products!$A$2:$C$9,3,FALSE)</f>
        <v>80</v>
      </c>
      <c r="H15">
        <f t="shared" ca="1" si="3"/>
        <v>240</v>
      </c>
    </row>
    <row r="16" spans="1:8" x14ac:dyDescent="0.35">
      <c r="A16">
        <f t="shared" si="0"/>
        <v>1015</v>
      </c>
      <c r="B16" s="2">
        <f t="shared" ca="1" si="1"/>
        <v>45818</v>
      </c>
      <c r="C16" t="str" cm="1">
        <f t="array" aca="1" ref="C16" ca="1">INDEX(Products!$A$2:$A$9,RANDBETWEEN(1,8))</f>
        <v>Training Top</v>
      </c>
      <c r="D16" t="str">
        <f ca="1">_xlfn.XLOOKUP(C16,Products!A:A,Products!B:B)</f>
        <v>Training Wear</v>
      </c>
      <c r="E16" t="str" cm="1">
        <f t="array" aca="1" ref="E16" ca="1">INDEX(Regions!$A$2:$A$7,RANDBETWEEN(1,6))</f>
        <v>Waterford</v>
      </c>
      <c r="F16">
        <f t="shared" ca="1" si="2"/>
        <v>5</v>
      </c>
      <c r="G16">
        <f ca="1">VLOOKUP(C16,Products!$A$2:$C$9,3,FALSE)</f>
        <v>55</v>
      </c>
      <c r="H16">
        <f t="shared" ca="1" si="3"/>
        <v>275</v>
      </c>
    </row>
    <row r="17" spans="1:8" x14ac:dyDescent="0.35">
      <c r="A17">
        <f t="shared" si="0"/>
        <v>1016</v>
      </c>
      <c r="B17" s="2">
        <f t="shared" ca="1" si="1"/>
        <v>45977</v>
      </c>
      <c r="C17" t="str" cm="1">
        <f t="array" aca="1" ref="C17" ca="1">INDEX(Products!$A$2:$A$9,RANDBETWEEN(1,8))</f>
        <v>Third Jersey</v>
      </c>
      <c r="D17" t="str">
        <f ca="1">_xlfn.XLOOKUP(C17,Products!A:A,Products!B:B)</f>
        <v>Jerseys</v>
      </c>
      <c r="E17" t="str" cm="1">
        <f t="array" aca="1" ref="E17" ca="1">INDEX(Regions!$A$2:$A$7,RANDBETWEEN(1,6))</f>
        <v>Waterford</v>
      </c>
      <c r="F17">
        <f t="shared" ca="1" si="2"/>
        <v>2</v>
      </c>
      <c r="G17">
        <f ca="1">VLOOKUP(C17,Products!$A$2:$C$9,3,FALSE)</f>
        <v>85</v>
      </c>
      <c r="H17">
        <f t="shared" ca="1" si="3"/>
        <v>170</v>
      </c>
    </row>
    <row r="18" spans="1:8" x14ac:dyDescent="0.35">
      <c r="A18">
        <f t="shared" si="0"/>
        <v>1017</v>
      </c>
      <c r="B18" s="2">
        <f t="shared" ca="1" si="1"/>
        <v>45429</v>
      </c>
      <c r="C18" t="str" cm="1">
        <f t="array" aca="1" ref="C18" ca="1">INDEX(Products!$A$2:$A$9,RANDBETWEEN(1,8))</f>
        <v>Training Top</v>
      </c>
      <c r="D18" t="str">
        <f ca="1">_xlfn.XLOOKUP(C18,Products!A:A,Products!B:B)</f>
        <v>Training Wear</v>
      </c>
      <c r="E18" t="str" cm="1">
        <f t="array" aca="1" ref="E18" ca="1">INDEX(Regions!$A$2:$A$7,RANDBETWEEN(1,6))</f>
        <v>Limerick</v>
      </c>
      <c r="F18">
        <f t="shared" ca="1" si="2"/>
        <v>2</v>
      </c>
      <c r="G18">
        <f ca="1">VLOOKUP(C18,Products!$A$2:$C$9,3,FALSE)</f>
        <v>55</v>
      </c>
      <c r="H18">
        <f t="shared" ca="1" si="3"/>
        <v>110</v>
      </c>
    </row>
    <row r="19" spans="1:8" x14ac:dyDescent="0.35">
      <c r="A19">
        <f t="shared" si="0"/>
        <v>1018</v>
      </c>
      <c r="B19" s="2">
        <f t="shared" ca="1" si="1"/>
        <v>46003</v>
      </c>
      <c r="C19" t="str" cm="1">
        <f t="array" aca="1" ref="C19" ca="1">INDEX(Products!$A$2:$A$9,RANDBETWEEN(1,8))</f>
        <v>Scarf</v>
      </c>
      <c r="D19" t="str">
        <f ca="1">_xlfn.XLOOKUP(C19,Products!A:A,Products!B:B)</f>
        <v>Accessories</v>
      </c>
      <c r="E19" t="str" cm="1">
        <f t="array" aca="1" ref="E19" ca="1">INDEX(Regions!$A$2:$A$7,RANDBETWEEN(1,6))</f>
        <v>Belfast</v>
      </c>
      <c r="F19">
        <f t="shared" ca="1" si="2"/>
        <v>4</v>
      </c>
      <c r="G19">
        <f ca="1">VLOOKUP(C19,Products!$A$2:$C$9,3,FALSE)</f>
        <v>20</v>
      </c>
      <c r="H19">
        <f t="shared" ca="1" si="3"/>
        <v>80</v>
      </c>
    </row>
    <row r="20" spans="1:8" x14ac:dyDescent="0.35">
      <c r="A20">
        <f t="shared" si="0"/>
        <v>1019</v>
      </c>
      <c r="B20" s="2">
        <f t="shared" ca="1" si="1"/>
        <v>45384</v>
      </c>
      <c r="C20" t="str" cm="1">
        <f t="array" aca="1" ref="C20" ca="1">INDEX(Products!$A$2:$A$9,RANDBETWEEN(1,8))</f>
        <v>Hat</v>
      </c>
      <c r="D20" t="str">
        <f ca="1">_xlfn.XLOOKUP(C20,Products!A:A,Products!B:B)</f>
        <v>Accessories</v>
      </c>
      <c r="E20" t="str" cm="1">
        <f t="array" aca="1" ref="E20" ca="1">INDEX(Regions!$A$2:$A$7,RANDBETWEEN(1,6))</f>
        <v>Dublin</v>
      </c>
      <c r="F20">
        <f t="shared" ca="1" si="2"/>
        <v>2</v>
      </c>
      <c r="G20">
        <f ca="1">VLOOKUP(C20,Products!$A$2:$C$9,3,FALSE)</f>
        <v>25</v>
      </c>
      <c r="H20">
        <f t="shared" ca="1" si="3"/>
        <v>50</v>
      </c>
    </row>
    <row r="21" spans="1:8" x14ac:dyDescent="0.35">
      <c r="A21">
        <f t="shared" si="0"/>
        <v>1020</v>
      </c>
      <c r="B21" s="2">
        <f t="shared" ca="1" si="1"/>
        <v>45316</v>
      </c>
      <c r="C21" t="str" cm="1">
        <f t="array" aca="1" ref="C21" ca="1">INDEX(Products!$A$2:$A$9,RANDBETWEEN(1,8))</f>
        <v>Hat</v>
      </c>
      <c r="D21" t="str">
        <f ca="1">_xlfn.XLOOKUP(C21,Products!A:A,Products!B:B)</f>
        <v>Accessories</v>
      </c>
      <c r="E21" t="str" cm="1">
        <f t="array" aca="1" ref="E21" ca="1">INDEX(Regions!$A$2:$A$7,RANDBETWEEN(1,6))</f>
        <v>Waterford</v>
      </c>
      <c r="F21">
        <f t="shared" ca="1" si="2"/>
        <v>1</v>
      </c>
      <c r="G21">
        <f ca="1">VLOOKUP(C21,Products!$A$2:$C$9,3,FALSE)</f>
        <v>25</v>
      </c>
      <c r="H21">
        <f t="shared" ca="1" si="3"/>
        <v>25</v>
      </c>
    </row>
    <row r="22" spans="1:8" x14ac:dyDescent="0.35">
      <c r="A22">
        <f t="shared" si="0"/>
        <v>1021</v>
      </c>
      <c r="B22" s="2">
        <f t="shared" ca="1" si="1"/>
        <v>45841</v>
      </c>
      <c r="C22" t="str" cm="1">
        <f t="array" aca="1" ref="C22" ca="1">INDEX(Products!$A$2:$A$9,RANDBETWEEN(1,8))</f>
        <v>Jacket</v>
      </c>
      <c r="D22" t="str">
        <f ca="1">_xlfn.XLOOKUP(C22,Products!A:A,Products!B:B)</f>
        <v>Training Wear</v>
      </c>
      <c r="E22" t="str" cm="1">
        <f t="array" aca="1" ref="E22" ca="1">INDEX(Regions!$A$2:$A$7,RANDBETWEEN(1,6))</f>
        <v>Cork</v>
      </c>
      <c r="F22">
        <f t="shared" ca="1" si="2"/>
        <v>2</v>
      </c>
      <c r="G22">
        <f ca="1">VLOOKUP(C22,Products!$A$2:$C$9,3,FALSE)</f>
        <v>90</v>
      </c>
      <c r="H22">
        <f t="shared" ca="1" si="3"/>
        <v>180</v>
      </c>
    </row>
    <row r="23" spans="1:8" x14ac:dyDescent="0.35">
      <c r="A23">
        <f t="shared" si="0"/>
        <v>1022</v>
      </c>
      <c r="B23" s="2">
        <f t="shared" ca="1" si="1"/>
        <v>45992</v>
      </c>
      <c r="C23" t="str" cm="1">
        <f t="array" aca="1" ref="C23" ca="1">INDEX(Products!$A$2:$A$9,RANDBETWEEN(1,8))</f>
        <v>Jacket</v>
      </c>
      <c r="D23" t="str">
        <f ca="1">_xlfn.XLOOKUP(C23,Products!A:A,Products!B:B)</f>
        <v>Training Wear</v>
      </c>
      <c r="E23" t="str" cm="1">
        <f t="array" aca="1" ref="E23" ca="1">INDEX(Regions!$A$2:$A$7,RANDBETWEEN(1,6))</f>
        <v>Cork</v>
      </c>
      <c r="F23">
        <f t="shared" ca="1" si="2"/>
        <v>1</v>
      </c>
      <c r="G23">
        <f ca="1">VLOOKUP(C23,Products!$A$2:$C$9,3,FALSE)</f>
        <v>90</v>
      </c>
      <c r="H23">
        <f t="shared" ca="1" si="3"/>
        <v>90</v>
      </c>
    </row>
    <row r="24" spans="1:8" x14ac:dyDescent="0.35">
      <c r="A24">
        <f t="shared" si="0"/>
        <v>1023</v>
      </c>
      <c r="B24" s="2">
        <f t="shared" ca="1" si="1"/>
        <v>45962</v>
      </c>
      <c r="C24" t="str" cm="1">
        <f t="array" aca="1" ref="C24" ca="1">INDEX(Products!$A$2:$A$9,RANDBETWEEN(1,8))</f>
        <v>Football</v>
      </c>
      <c r="D24" t="str">
        <f ca="1">_xlfn.XLOOKUP(C24,Products!A:A,Products!B:B)</f>
        <v>Equipment</v>
      </c>
      <c r="E24" t="str" cm="1">
        <f t="array" aca="1" ref="E24" ca="1">INDEX(Regions!$A$2:$A$7,RANDBETWEEN(1,6))</f>
        <v>Cork</v>
      </c>
      <c r="F24">
        <f t="shared" ca="1" si="2"/>
        <v>2</v>
      </c>
      <c r="G24">
        <f ca="1">VLOOKUP(C24,Products!$A$2:$C$9,3,FALSE)</f>
        <v>30</v>
      </c>
      <c r="H24">
        <f t="shared" ca="1" si="3"/>
        <v>60</v>
      </c>
    </row>
    <row r="25" spans="1:8" x14ac:dyDescent="0.35">
      <c r="A25">
        <f t="shared" si="0"/>
        <v>1024</v>
      </c>
      <c r="B25" s="2">
        <f t="shared" ca="1" si="1"/>
        <v>45623</v>
      </c>
      <c r="C25" t="str" cm="1">
        <f t="array" aca="1" ref="C25" ca="1">INDEX(Products!$A$2:$A$9,RANDBETWEEN(1,8))</f>
        <v>Hat</v>
      </c>
      <c r="D25" t="str">
        <f ca="1">_xlfn.XLOOKUP(C25,Products!A:A,Products!B:B)</f>
        <v>Accessories</v>
      </c>
      <c r="E25" t="str" cm="1">
        <f t="array" aca="1" ref="E25" ca="1">INDEX(Regions!$A$2:$A$7,RANDBETWEEN(1,6))</f>
        <v>Cork</v>
      </c>
      <c r="F25">
        <f t="shared" ca="1" si="2"/>
        <v>5</v>
      </c>
      <c r="G25">
        <f ca="1">VLOOKUP(C25,Products!$A$2:$C$9,3,FALSE)</f>
        <v>25</v>
      </c>
      <c r="H25">
        <f t="shared" ca="1" si="3"/>
        <v>125</v>
      </c>
    </row>
    <row r="26" spans="1:8" x14ac:dyDescent="0.35">
      <c r="A26">
        <f t="shared" si="0"/>
        <v>1025</v>
      </c>
      <c r="B26" s="2">
        <f t="shared" ca="1" si="1"/>
        <v>45770</v>
      </c>
      <c r="C26" t="str" cm="1">
        <f t="array" aca="1" ref="C26" ca="1">INDEX(Products!$A$2:$A$9,RANDBETWEEN(1,8))</f>
        <v>Hat</v>
      </c>
      <c r="D26" t="str">
        <f ca="1">_xlfn.XLOOKUP(C26,Products!A:A,Products!B:B)</f>
        <v>Accessories</v>
      </c>
      <c r="E26" t="str" cm="1">
        <f t="array" aca="1" ref="E26" ca="1">INDEX(Regions!$A$2:$A$7,RANDBETWEEN(1,6))</f>
        <v>Belfast</v>
      </c>
      <c r="F26">
        <f t="shared" ca="1" si="2"/>
        <v>3</v>
      </c>
      <c r="G26">
        <f ca="1">VLOOKUP(C26,Products!$A$2:$C$9,3,FALSE)</f>
        <v>25</v>
      </c>
      <c r="H26">
        <f t="shared" ca="1" si="3"/>
        <v>75</v>
      </c>
    </row>
    <row r="27" spans="1:8" x14ac:dyDescent="0.35">
      <c r="A27">
        <f t="shared" si="0"/>
        <v>1026</v>
      </c>
      <c r="B27" s="2">
        <f t="shared" ca="1" si="1"/>
        <v>45873</v>
      </c>
      <c r="C27" t="str" cm="1">
        <f t="array" aca="1" ref="C27" ca="1">INDEX(Products!$A$2:$A$9,RANDBETWEEN(1,8))</f>
        <v>Training Top</v>
      </c>
      <c r="D27" t="str">
        <f ca="1">_xlfn.XLOOKUP(C27,Products!A:A,Products!B:B)</f>
        <v>Training Wear</v>
      </c>
      <c r="E27" t="str" cm="1">
        <f t="array" aca="1" ref="E27" ca="1">INDEX(Regions!$A$2:$A$7,RANDBETWEEN(1,6))</f>
        <v>Waterford</v>
      </c>
      <c r="F27">
        <f t="shared" ca="1" si="2"/>
        <v>3</v>
      </c>
      <c r="G27">
        <f ca="1">VLOOKUP(C27,Products!$A$2:$C$9,3,FALSE)</f>
        <v>55</v>
      </c>
      <c r="H27">
        <f t="shared" ca="1" si="3"/>
        <v>165</v>
      </c>
    </row>
    <row r="28" spans="1:8" x14ac:dyDescent="0.35">
      <c r="A28">
        <f t="shared" si="0"/>
        <v>1027</v>
      </c>
      <c r="B28" s="2">
        <f t="shared" ca="1" si="1"/>
        <v>45639</v>
      </c>
      <c r="C28" t="str" cm="1">
        <f t="array" aca="1" ref="C28" ca="1">INDEX(Products!$A$2:$A$9,RANDBETWEEN(1,8))</f>
        <v>Scarf</v>
      </c>
      <c r="D28" t="str">
        <f ca="1">_xlfn.XLOOKUP(C28,Products!A:A,Products!B:B)</f>
        <v>Accessories</v>
      </c>
      <c r="E28" t="str" cm="1">
        <f t="array" aca="1" ref="E28" ca="1">INDEX(Regions!$A$2:$A$7,RANDBETWEEN(1,6))</f>
        <v>Dublin</v>
      </c>
      <c r="F28">
        <f t="shared" ca="1" si="2"/>
        <v>1</v>
      </c>
      <c r="G28">
        <f ca="1">VLOOKUP(C28,Products!$A$2:$C$9,3,FALSE)</f>
        <v>20</v>
      </c>
      <c r="H28">
        <f t="shared" ca="1" si="3"/>
        <v>20</v>
      </c>
    </row>
    <row r="29" spans="1:8" x14ac:dyDescent="0.35">
      <c r="A29">
        <f t="shared" si="0"/>
        <v>1028</v>
      </c>
      <c r="B29" s="2">
        <f t="shared" ca="1" si="1"/>
        <v>45755</v>
      </c>
      <c r="C29" t="str" cm="1">
        <f t="array" aca="1" ref="C29" ca="1">INDEX(Products!$A$2:$A$9,RANDBETWEEN(1,8))</f>
        <v>Hat</v>
      </c>
      <c r="D29" t="str">
        <f ca="1">_xlfn.XLOOKUP(C29,Products!A:A,Products!B:B)</f>
        <v>Accessories</v>
      </c>
      <c r="E29" t="str" cm="1">
        <f t="array" aca="1" ref="E29" ca="1">INDEX(Regions!$A$2:$A$7,RANDBETWEEN(1,6))</f>
        <v>Dublin</v>
      </c>
      <c r="F29">
        <f t="shared" ca="1" si="2"/>
        <v>3</v>
      </c>
      <c r="G29">
        <f ca="1">VLOOKUP(C29,Products!$A$2:$C$9,3,FALSE)</f>
        <v>25</v>
      </c>
      <c r="H29">
        <f t="shared" ca="1" si="3"/>
        <v>75</v>
      </c>
    </row>
    <row r="30" spans="1:8" x14ac:dyDescent="0.35">
      <c r="A30">
        <f t="shared" si="0"/>
        <v>1029</v>
      </c>
      <c r="B30" s="2">
        <f t="shared" ca="1" si="1"/>
        <v>45766</v>
      </c>
      <c r="C30" t="str" cm="1">
        <f t="array" aca="1" ref="C30" ca="1">INDEX(Products!$A$2:$A$9,RANDBETWEEN(1,8))</f>
        <v>Football</v>
      </c>
      <c r="D30" t="str">
        <f ca="1">_xlfn.XLOOKUP(C30,Products!A:A,Products!B:B)</f>
        <v>Equipment</v>
      </c>
      <c r="E30" t="str" cm="1">
        <f t="array" aca="1" ref="E30" ca="1">INDEX(Regions!$A$2:$A$7,RANDBETWEEN(1,6))</f>
        <v>Belfast</v>
      </c>
      <c r="F30">
        <f t="shared" ca="1" si="2"/>
        <v>2</v>
      </c>
      <c r="G30">
        <f ca="1">VLOOKUP(C30,Products!$A$2:$C$9,3,FALSE)</f>
        <v>30</v>
      </c>
      <c r="H30">
        <f t="shared" ca="1" si="3"/>
        <v>60</v>
      </c>
    </row>
    <row r="31" spans="1:8" x14ac:dyDescent="0.35">
      <c r="A31">
        <f t="shared" si="0"/>
        <v>1030</v>
      </c>
      <c r="B31" s="2">
        <f t="shared" ca="1" si="1"/>
        <v>45766</v>
      </c>
      <c r="C31" t="str" cm="1">
        <f t="array" aca="1" ref="C31" ca="1">INDEX(Products!$A$2:$A$9,RANDBETWEEN(1,8))</f>
        <v>Football</v>
      </c>
      <c r="D31" t="str">
        <f ca="1">_xlfn.XLOOKUP(C31,Products!A:A,Products!B:B)</f>
        <v>Equipment</v>
      </c>
      <c r="E31" t="str" cm="1">
        <f t="array" aca="1" ref="E31" ca="1">INDEX(Regions!$A$2:$A$7,RANDBETWEEN(1,6))</f>
        <v>Limerick</v>
      </c>
      <c r="F31">
        <f t="shared" ca="1" si="2"/>
        <v>2</v>
      </c>
      <c r="G31">
        <f ca="1">VLOOKUP(C31,Products!$A$2:$C$9,3,FALSE)</f>
        <v>30</v>
      </c>
      <c r="H31">
        <f t="shared" ca="1" si="3"/>
        <v>60</v>
      </c>
    </row>
    <row r="32" spans="1:8" x14ac:dyDescent="0.35">
      <c r="A32">
        <f t="shared" si="0"/>
        <v>1031</v>
      </c>
      <c r="B32" s="2">
        <f t="shared" ca="1" si="1"/>
        <v>45675</v>
      </c>
      <c r="C32" t="str" cm="1">
        <f t="array" aca="1" ref="C32" ca="1">INDEX(Products!$A$2:$A$9,RANDBETWEEN(1,8))</f>
        <v>Jacket</v>
      </c>
      <c r="D32" t="str">
        <f ca="1">_xlfn.XLOOKUP(C32,Products!A:A,Products!B:B)</f>
        <v>Training Wear</v>
      </c>
      <c r="E32" t="str" cm="1">
        <f t="array" aca="1" ref="E32" ca="1">INDEX(Regions!$A$2:$A$7,RANDBETWEEN(1,6))</f>
        <v>Waterford</v>
      </c>
      <c r="F32">
        <f t="shared" ca="1" si="2"/>
        <v>5</v>
      </c>
      <c r="G32">
        <f ca="1">VLOOKUP(C32,Products!$A$2:$C$9,3,FALSE)</f>
        <v>90</v>
      </c>
      <c r="H32">
        <f t="shared" ca="1" si="3"/>
        <v>450</v>
      </c>
    </row>
    <row r="33" spans="1:8" x14ac:dyDescent="0.35">
      <c r="A33">
        <f t="shared" si="0"/>
        <v>1032</v>
      </c>
      <c r="B33" s="2">
        <f t="shared" ca="1" si="1"/>
        <v>45458</v>
      </c>
      <c r="C33" t="str" cm="1">
        <f t="array" aca="1" ref="C33" ca="1">INDEX(Products!$A$2:$A$9,RANDBETWEEN(1,8))</f>
        <v>Football</v>
      </c>
      <c r="D33" t="str">
        <f ca="1">_xlfn.XLOOKUP(C33,Products!A:A,Products!B:B)</f>
        <v>Equipment</v>
      </c>
      <c r="E33" t="str" cm="1">
        <f t="array" aca="1" ref="E33" ca="1">INDEX(Regions!$A$2:$A$7,RANDBETWEEN(1,6))</f>
        <v>Dublin</v>
      </c>
      <c r="F33">
        <f t="shared" ca="1" si="2"/>
        <v>3</v>
      </c>
      <c r="G33">
        <f ca="1">VLOOKUP(C33,Products!$A$2:$C$9,3,FALSE)</f>
        <v>30</v>
      </c>
      <c r="H33">
        <f t="shared" ca="1" si="3"/>
        <v>90</v>
      </c>
    </row>
    <row r="34" spans="1:8" x14ac:dyDescent="0.35">
      <c r="A34">
        <f t="shared" si="0"/>
        <v>1033</v>
      </c>
      <c r="B34" s="2">
        <f t="shared" ca="1" si="1"/>
        <v>45370</v>
      </c>
      <c r="C34" t="str" cm="1">
        <f t="array" aca="1" ref="C34" ca="1">INDEX(Products!$A$2:$A$9,RANDBETWEEN(1,8))</f>
        <v>Third Jersey</v>
      </c>
      <c r="D34" t="str">
        <f ca="1">_xlfn.XLOOKUP(C34,Products!A:A,Products!B:B)</f>
        <v>Jerseys</v>
      </c>
      <c r="E34" t="str" cm="1">
        <f t="array" aca="1" ref="E34" ca="1">INDEX(Regions!$A$2:$A$7,RANDBETWEEN(1,6))</f>
        <v>Cork</v>
      </c>
      <c r="F34">
        <f t="shared" ca="1" si="2"/>
        <v>5</v>
      </c>
      <c r="G34">
        <f ca="1">VLOOKUP(C34,Products!$A$2:$C$9,3,FALSE)</f>
        <v>85</v>
      </c>
      <c r="H34">
        <f t="shared" ca="1" si="3"/>
        <v>425</v>
      </c>
    </row>
    <row r="35" spans="1:8" x14ac:dyDescent="0.35">
      <c r="A35">
        <f t="shared" si="0"/>
        <v>1034</v>
      </c>
      <c r="B35" s="2">
        <f t="shared" ca="1" si="1"/>
        <v>45654</v>
      </c>
      <c r="C35" t="str" cm="1">
        <f t="array" aca="1" ref="C35" ca="1">INDEX(Products!$A$2:$A$9,RANDBETWEEN(1,8))</f>
        <v>Away Jersey</v>
      </c>
      <c r="D35" t="str">
        <f ca="1">_xlfn.XLOOKUP(C35,Products!A:A,Products!B:B)</f>
        <v>Jerseys</v>
      </c>
      <c r="E35" t="str" cm="1">
        <f t="array" aca="1" ref="E35" ca="1">INDEX(Regions!$A$2:$A$7,RANDBETWEEN(1,6))</f>
        <v>Dublin</v>
      </c>
      <c r="F35">
        <f t="shared" ca="1" si="2"/>
        <v>2</v>
      </c>
      <c r="G35">
        <f ca="1">VLOOKUP(C35,Products!$A$2:$C$9,3,FALSE)</f>
        <v>80</v>
      </c>
      <c r="H35">
        <f t="shared" ca="1" si="3"/>
        <v>160</v>
      </c>
    </row>
    <row r="36" spans="1:8" x14ac:dyDescent="0.35">
      <c r="A36">
        <f t="shared" si="0"/>
        <v>1035</v>
      </c>
      <c r="B36" s="2">
        <f t="shared" ca="1" si="1"/>
        <v>45659</v>
      </c>
      <c r="C36" t="str" cm="1">
        <f t="array" aca="1" ref="C36" ca="1">INDEX(Products!$A$2:$A$9,RANDBETWEEN(1,8))</f>
        <v>Training Top</v>
      </c>
      <c r="D36" t="str">
        <f ca="1">_xlfn.XLOOKUP(C36,Products!A:A,Products!B:B)</f>
        <v>Training Wear</v>
      </c>
      <c r="E36" t="str" cm="1">
        <f t="array" aca="1" ref="E36" ca="1">INDEX(Regions!$A$2:$A$7,RANDBETWEEN(1,6))</f>
        <v>Limerick</v>
      </c>
      <c r="F36">
        <f t="shared" ca="1" si="2"/>
        <v>2</v>
      </c>
      <c r="G36">
        <f ca="1">VLOOKUP(C36,Products!$A$2:$C$9,3,FALSE)</f>
        <v>55</v>
      </c>
      <c r="H36">
        <f t="shared" ca="1" si="3"/>
        <v>110</v>
      </c>
    </row>
    <row r="37" spans="1:8" x14ac:dyDescent="0.35">
      <c r="A37">
        <f t="shared" si="0"/>
        <v>1036</v>
      </c>
      <c r="B37" s="2">
        <f t="shared" ca="1" si="1"/>
        <v>45929</v>
      </c>
      <c r="C37" t="str" cm="1">
        <f t="array" aca="1" ref="C37" ca="1">INDEX(Products!$A$2:$A$9,RANDBETWEEN(1,8))</f>
        <v>Training Top</v>
      </c>
      <c r="D37" t="str">
        <f ca="1">_xlfn.XLOOKUP(C37,Products!A:A,Products!B:B)</f>
        <v>Training Wear</v>
      </c>
      <c r="E37" t="str" cm="1">
        <f t="array" aca="1" ref="E37" ca="1">INDEX(Regions!$A$2:$A$7,RANDBETWEEN(1,6))</f>
        <v>Limerick</v>
      </c>
      <c r="F37">
        <f t="shared" ca="1" si="2"/>
        <v>4</v>
      </c>
      <c r="G37">
        <f ca="1">VLOOKUP(C37,Products!$A$2:$C$9,3,FALSE)</f>
        <v>55</v>
      </c>
      <c r="H37">
        <f t="shared" ca="1" si="3"/>
        <v>220</v>
      </c>
    </row>
    <row r="38" spans="1:8" x14ac:dyDescent="0.35">
      <c r="A38">
        <f t="shared" si="0"/>
        <v>1037</v>
      </c>
      <c r="B38" s="2">
        <f t="shared" ca="1" si="1"/>
        <v>45458</v>
      </c>
      <c r="C38" t="str" cm="1">
        <f t="array" aca="1" ref="C38" ca="1">INDEX(Products!$A$2:$A$9,RANDBETWEEN(1,8))</f>
        <v>Scarf</v>
      </c>
      <c r="D38" t="str">
        <f ca="1">_xlfn.XLOOKUP(C38,Products!A:A,Products!B:B)</f>
        <v>Accessories</v>
      </c>
      <c r="E38" t="str" cm="1">
        <f t="array" aca="1" ref="E38" ca="1">INDEX(Regions!$A$2:$A$7,RANDBETWEEN(1,6))</f>
        <v>Limerick</v>
      </c>
      <c r="F38">
        <f t="shared" ca="1" si="2"/>
        <v>3</v>
      </c>
      <c r="G38">
        <f ca="1">VLOOKUP(C38,Products!$A$2:$C$9,3,FALSE)</f>
        <v>20</v>
      </c>
      <c r="H38">
        <f t="shared" ca="1" si="3"/>
        <v>60</v>
      </c>
    </row>
    <row r="39" spans="1:8" x14ac:dyDescent="0.35">
      <c r="A39">
        <f t="shared" si="0"/>
        <v>1038</v>
      </c>
      <c r="B39" s="2">
        <f t="shared" ca="1" si="1"/>
        <v>45880</v>
      </c>
      <c r="C39" t="str" cm="1">
        <f t="array" aca="1" ref="C39" ca="1">INDEX(Products!$A$2:$A$9,RANDBETWEEN(1,8))</f>
        <v>Scarf</v>
      </c>
      <c r="D39" t="str">
        <f ca="1">_xlfn.XLOOKUP(C39,Products!A:A,Products!B:B)</f>
        <v>Accessories</v>
      </c>
      <c r="E39" t="str" cm="1">
        <f t="array" aca="1" ref="E39" ca="1">INDEX(Regions!$A$2:$A$7,RANDBETWEEN(1,6))</f>
        <v>Waterford</v>
      </c>
      <c r="F39">
        <f t="shared" ca="1" si="2"/>
        <v>3</v>
      </c>
      <c r="G39">
        <f ca="1">VLOOKUP(C39,Products!$A$2:$C$9,3,FALSE)</f>
        <v>20</v>
      </c>
      <c r="H39">
        <f t="shared" ca="1" si="3"/>
        <v>60</v>
      </c>
    </row>
    <row r="40" spans="1:8" x14ac:dyDescent="0.35">
      <c r="A40">
        <f t="shared" si="0"/>
        <v>1039</v>
      </c>
      <c r="B40" s="2">
        <f t="shared" ca="1" si="1"/>
        <v>45789</v>
      </c>
      <c r="C40" t="str" cm="1">
        <f t="array" aca="1" ref="C40" ca="1">INDEX(Products!$A$2:$A$9,RANDBETWEEN(1,8))</f>
        <v>Home Jersey</v>
      </c>
      <c r="D40" t="str">
        <f ca="1">_xlfn.XLOOKUP(C40,Products!A:A,Products!B:B)</f>
        <v>Jerseys</v>
      </c>
      <c r="E40" t="str" cm="1">
        <f t="array" aca="1" ref="E40" ca="1">INDEX(Regions!$A$2:$A$7,RANDBETWEEN(1,6))</f>
        <v>Limerick</v>
      </c>
      <c r="F40">
        <f t="shared" ca="1" si="2"/>
        <v>2</v>
      </c>
      <c r="G40">
        <f ca="1">VLOOKUP(C40,Products!$A$2:$C$9,3,FALSE)</f>
        <v>80</v>
      </c>
      <c r="H40">
        <f t="shared" ca="1" si="3"/>
        <v>160</v>
      </c>
    </row>
    <row r="41" spans="1:8" x14ac:dyDescent="0.35">
      <c r="A41">
        <f t="shared" si="0"/>
        <v>1040</v>
      </c>
      <c r="B41" s="2">
        <f t="shared" ca="1" si="1"/>
        <v>45568</v>
      </c>
      <c r="C41" t="str" cm="1">
        <f t="array" aca="1" ref="C41" ca="1">INDEX(Products!$A$2:$A$9,RANDBETWEEN(1,8))</f>
        <v>Football</v>
      </c>
      <c r="D41" t="str">
        <f ca="1">_xlfn.XLOOKUP(C41,Products!A:A,Products!B:B)</f>
        <v>Equipment</v>
      </c>
      <c r="E41" t="str" cm="1">
        <f t="array" aca="1" ref="E41" ca="1">INDEX(Regions!$A$2:$A$7,RANDBETWEEN(1,6))</f>
        <v>Galway</v>
      </c>
      <c r="F41">
        <f t="shared" ca="1" si="2"/>
        <v>4</v>
      </c>
      <c r="G41">
        <f ca="1">VLOOKUP(C41,Products!$A$2:$C$9,3,FALSE)</f>
        <v>30</v>
      </c>
      <c r="H41">
        <f t="shared" ca="1" si="3"/>
        <v>120</v>
      </c>
    </row>
    <row r="42" spans="1:8" x14ac:dyDescent="0.35">
      <c r="A42">
        <f t="shared" si="0"/>
        <v>1041</v>
      </c>
      <c r="B42" s="2">
        <f t="shared" ca="1" si="1"/>
        <v>45415</v>
      </c>
      <c r="C42" t="str" cm="1">
        <f t="array" aca="1" ref="C42" ca="1">INDEX(Products!$A$2:$A$9,RANDBETWEEN(1,8))</f>
        <v>Home Jersey</v>
      </c>
      <c r="D42" t="str">
        <f ca="1">_xlfn.XLOOKUP(C42,Products!A:A,Products!B:B)</f>
        <v>Jerseys</v>
      </c>
      <c r="E42" t="str" cm="1">
        <f t="array" aca="1" ref="E42" ca="1">INDEX(Regions!$A$2:$A$7,RANDBETWEEN(1,6))</f>
        <v>Dublin</v>
      </c>
      <c r="F42">
        <f t="shared" ca="1" si="2"/>
        <v>5</v>
      </c>
      <c r="G42">
        <f ca="1">VLOOKUP(C42,Products!$A$2:$C$9,3,FALSE)</f>
        <v>80</v>
      </c>
      <c r="H42">
        <f t="shared" ca="1" si="3"/>
        <v>400</v>
      </c>
    </row>
    <row r="43" spans="1:8" x14ac:dyDescent="0.35">
      <c r="A43">
        <f t="shared" si="0"/>
        <v>1042</v>
      </c>
      <c r="B43" s="2">
        <f t="shared" ca="1" si="1"/>
        <v>45441</v>
      </c>
      <c r="C43" t="str" cm="1">
        <f t="array" aca="1" ref="C43" ca="1">INDEX(Products!$A$2:$A$9,RANDBETWEEN(1,8))</f>
        <v>Scarf</v>
      </c>
      <c r="D43" t="str">
        <f ca="1">_xlfn.XLOOKUP(C43,Products!A:A,Products!B:B)</f>
        <v>Accessories</v>
      </c>
      <c r="E43" t="str" cm="1">
        <f t="array" aca="1" ref="E43" ca="1">INDEX(Regions!$A$2:$A$7,RANDBETWEEN(1,6))</f>
        <v>Waterford</v>
      </c>
      <c r="F43">
        <f t="shared" ca="1" si="2"/>
        <v>3</v>
      </c>
      <c r="G43">
        <f ca="1">VLOOKUP(C43,Products!$A$2:$C$9,3,FALSE)</f>
        <v>20</v>
      </c>
      <c r="H43">
        <f t="shared" ca="1" si="3"/>
        <v>60</v>
      </c>
    </row>
    <row r="44" spans="1:8" x14ac:dyDescent="0.35">
      <c r="A44">
        <f t="shared" si="0"/>
        <v>1043</v>
      </c>
      <c r="B44" s="2">
        <f t="shared" ca="1" si="1"/>
        <v>45334</v>
      </c>
      <c r="C44" t="str" cm="1">
        <f t="array" aca="1" ref="C44" ca="1">INDEX(Products!$A$2:$A$9,RANDBETWEEN(1,8))</f>
        <v>Jacket</v>
      </c>
      <c r="D44" t="str">
        <f ca="1">_xlfn.XLOOKUP(C44,Products!A:A,Products!B:B)</f>
        <v>Training Wear</v>
      </c>
      <c r="E44" t="str" cm="1">
        <f t="array" aca="1" ref="E44" ca="1">INDEX(Regions!$A$2:$A$7,RANDBETWEEN(1,6))</f>
        <v>Galway</v>
      </c>
      <c r="F44">
        <f t="shared" ca="1" si="2"/>
        <v>4</v>
      </c>
      <c r="G44">
        <f ca="1">VLOOKUP(C44,Products!$A$2:$C$9,3,FALSE)</f>
        <v>90</v>
      </c>
      <c r="H44">
        <f t="shared" ca="1" si="3"/>
        <v>360</v>
      </c>
    </row>
    <row r="45" spans="1:8" x14ac:dyDescent="0.35">
      <c r="A45">
        <f t="shared" si="0"/>
        <v>1044</v>
      </c>
      <c r="B45" s="2">
        <f t="shared" ca="1" si="1"/>
        <v>45906</v>
      </c>
      <c r="C45" t="str" cm="1">
        <f t="array" aca="1" ref="C45" ca="1">INDEX(Products!$A$2:$A$9,RANDBETWEEN(1,8))</f>
        <v>Jacket</v>
      </c>
      <c r="D45" t="str">
        <f ca="1">_xlfn.XLOOKUP(C45,Products!A:A,Products!B:B)</f>
        <v>Training Wear</v>
      </c>
      <c r="E45" t="str" cm="1">
        <f t="array" aca="1" ref="E45" ca="1">INDEX(Regions!$A$2:$A$7,RANDBETWEEN(1,6))</f>
        <v>Galway</v>
      </c>
      <c r="F45">
        <f t="shared" ca="1" si="2"/>
        <v>3</v>
      </c>
      <c r="G45">
        <f ca="1">VLOOKUP(C45,Products!$A$2:$C$9,3,FALSE)</f>
        <v>90</v>
      </c>
      <c r="H45">
        <f t="shared" ca="1" si="3"/>
        <v>270</v>
      </c>
    </row>
    <row r="46" spans="1:8" x14ac:dyDescent="0.35">
      <c r="A46">
        <f t="shared" si="0"/>
        <v>1045</v>
      </c>
      <c r="B46" s="2">
        <f t="shared" ca="1" si="1"/>
        <v>45888</v>
      </c>
      <c r="C46" t="str" cm="1">
        <f t="array" aca="1" ref="C46" ca="1">INDEX(Products!$A$2:$A$9,RANDBETWEEN(1,8))</f>
        <v>Jacket</v>
      </c>
      <c r="D46" t="str">
        <f ca="1">_xlfn.XLOOKUP(C46,Products!A:A,Products!B:B)</f>
        <v>Training Wear</v>
      </c>
      <c r="E46" t="str" cm="1">
        <f t="array" aca="1" ref="E46" ca="1">INDEX(Regions!$A$2:$A$7,RANDBETWEEN(1,6))</f>
        <v>Limerick</v>
      </c>
      <c r="F46">
        <f t="shared" ca="1" si="2"/>
        <v>2</v>
      </c>
      <c r="G46">
        <f ca="1">VLOOKUP(C46,Products!$A$2:$C$9,3,FALSE)</f>
        <v>90</v>
      </c>
      <c r="H46">
        <f t="shared" ca="1" si="3"/>
        <v>180</v>
      </c>
    </row>
    <row r="47" spans="1:8" x14ac:dyDescent="0.35">
      <c r="A47">
        <f t="shared" si="0"/>
        <v>1046</v>
      </c>
      <c r="B47" s="2">
        <f t="shared" ca="1" si="1"/>
        <v>45793</v>
      </c>
      <c r="C47" t="str" cm="1">
        <f t="array" aca="1" ref="C47" ca="1">INDEX(Products!$A$2:$A$9,RANDBETWEEN(1,8))</f>
        <v>Football</v>
      </c>
      <c r="D47" t="str">
        <f ca="1">_xlfn.XLOOKUP(C47,Products!A:A,Products!B:B)</f>
        <v>Equipment</v>
      </c>
      <c r="E47" t="str" cm="1">
        <f t="array" aca="1" ref="E47" ca="1">INDEX(Regions!$A$2:$A$7,RANDBETWEEN(1,6))</f>
        <v>Cork</v>
      </c>
      <c r="F47">
        <f t="shared" ca="1" si="2"/>
        <v>1</v>
      </c>
      <c r="G47">
        <f ca="1">VLOOKUP(C47,Products!$A$2:$C$9,3,FALSE)</f>
        <v>30</v>
      </c>
      <c r="H47">
        <f t="shared" ca="1" si="3"/>
        <v>30</v>
      </c>
    </row>
    <row r="48" spans="1:8" x14ac:dyDescent="0.35">
      <c r="A48">
        <f t="shared" si="0"/>
        <v>1047</v>
      </c>
      <c r="B48" s="2">
        <f t="shared" ca="1" si="1"/>
        <v>45633</v>
      </c>
      <c r="C48" t="str" cm="1">
        <f t="array" aca="1" ref="C48" ca="1">INDEX(Products!$A$2:$A$9,RANDBETWEEN(1,8))</f>
        <v>Away Jersey</v>
      </c>
      <c r="D48" t="str">
        <f ca="1">_xlfn.XLOOKUP(C48,Products!A:A,Products!B:B)</f>
        <v>Jerseys</v>
      </c>
      <c r="E48" t="str" cm="1">
        <f t="array" aca="1" ref="E48" ca="1">INDEX(Regions!$A$2:$A$7,RANDBETWEEN(1,6))</f>
        <v>Galway</v>
      </c>
      <c r="F48">
        <f t="shared" ca="1" si="2"/>
        <v>4</v>
      </c>
      <c r="G48">
        <f ca="1">VLOOKUP(C48,Products!$A$2:$C$9,3,FALSE)</f>
        <v>80</v>
      </c>
      <c r="H48">
        <f t="shared" ca="1" si="3"/>
        <v>320</v>
      </c>
    </row>
    <row r="49" spans="1:8" x14ac:dyDescent="0.35">
      <c r="A49">
        <f t="shared" si="0"/>
        <v>1048</v>
      </c>
      <c r="B49" s="2">
        <f t="shared" ca="1" si="1"/>
        <v>45846</v>
      </c>
      <c r="C49" t="str" cm="1">
        <f t="array" aca="1" ref="C49" ca="1">INDEX(Products!$A$2:$A$9,RANDBETWEEN(1,8))</f>
        <v>Scarf</v>
      </c>
      <c r="D49" t="str">
        <f ca="1">_xlfn.XLOOKUP(C49,Products!A:A,Products!B:B)</f>
        <v>Accessories</v>
      </c>
      <c r="E49" t="str" cm="1">
        <f t="array" aca="1" ref="E49" ca="1">INDEX(Regions!$A$2:$A$7,RANDBETWEEN(1,6))</f>
        <v>Dublin</v>
      </c>
      <c r="F49">
        <f t="shared" ca="1" si="2"/>
        <v>4</v>
      </c>
      <c r="G49">
        <f ca="1">VLOOKUP(C49,Products!$A$2:$C$9,3,FALSE)</f>
        <v>20</v>
      </c>
      <c r="H49">
        <f t="shared" ca="1" si="3"/>
        <v>80</v>
      </c>
    </row>
    <row r="50" spans="1:8" x14ac:dyDescent="0.35">
      <c r="A50">
        <f t="shared" si="0"/>
        <v>1049</v>
      </c>
      <c r="B50" s="2">
        <f t="shared" ca="1" si="1"/>
        <v>45458</v>
      </c>
      <c r="C50" t="str" cm="1">
        <f t="array" aca="1" ref="C50" ca="1">INDEX(Products!$A$2:$A$9,RANDBETWEEN(1,8))</f>
        <v>Hat</v>
      </c>
      <c r="D50" t="str">
        <f ca="1">_xlfn.XLOOKUP(C50,Products!A:A,Products!B:B)</f>
        <v>Accessories</v>
      </c>
      <c r="E50" t="str" cm="1">
        <f t="array" aca="1" ref="E50" ca="1">INDEX(Regions!$A$2:$A$7,RANDBETWEEN(1,6))</f>
        <v>Cork</v>
      </c>
      <c r="F50">
        <f t="shared" ca="1" si="2"/>
        <v>5</v>
      </c>
      <c r="G50">
        <f ca="1">VLOOKUP(C50,Products!$A$2:$C$9,3,FALSE)</f>
        <v>25</v>
      </c>
      <c r="H50">
        <f t="shared" ca="1" si="3"/>
        <v>125</v>
      </c>
    </row>
    <row r="51" spans="1:8" x14ac:dyDescent="0.35">
      <c r="A51">
        <f t="shared" si="0"/>
        <v>1050</v>
      </c>
      <c r="B51" s="2">
        <f t="shared" ca="1" si="1"/>
        <v>46020</v>
      </c>
      <c r="C51" t="str" cm="1">
        <f t="array" aca="1" ref="C51" ca="1">INDEX(Products!$A$2:$A$9,RANDBETWEEN(1,8))</f>
        <v>Football</v>
      </c>
      <c r="D51" t="str">
        <f ca="1">_xlfn.XLOOKUP(C51,Products!A:A,Products!B:B)</f>
        <v>Equipment</v>
      </c>
      <c r="E51" t="str" cm="1">
        <f t="array" aca="1" ref="E51" ca="1">INDEX(Regions!$A$2:$A$7,RANDBETWEEN(1,6))</f>
        <v>Limerick</v>
      </c>
      <c r="F51">
        <f t="shared" ca="1" si="2"/>
        <v>3</v>
      </c>
      <c r="G51">
        <f ca="1">VLOOKUP(C51,Products!$A$2:$C$9,3,FALSE)</f>
        <v>30</v>
      </c>
      <c r="H51">
        <f t="shared" ca="1" si="3"/>
        <v>90</v>
      </c>
    </row>
    <row r="52" spans="1:8" x14ac:dyDescent="0.35">
      <c r="A52">
        <f t="shared" si="0"/>
        <v>1051</v>
      </c>
      <c r="B52" s="2">
        <f t="shared" ca="1" si="1"/>
        <v>45405</v>
      </c>
      <c r="C52" t="str" cm="1">
        <f t="array" aca="1" ref="C52" ca="1">INDEX(Products!$A$2:$A$9,RANDBETWEEN(1,8))</f>
        <v>Jacket</v>
      </c>
      <c r="D52" t="str">
        <f ca="1">_xlfn.XLOOKUP(C52,Products!A:A,Products!B:B)</f>
        <v>Training Wear</v>
      </c>
      <c r="E52" t="str" cm="1">
        <f t="array" aca="1" ref="E52" ca="1">INDEX(Regions!$A$2:$A$7,RANDBETWEEN(1,6))</f>
        <v>Dublin</v>
      </c>
      <c r="F52">
        <f t="shared" ca="1" si="2"/>
        <v>1</v>
      </c>
      <c r="G52">
        <f ca="1">VLOOKUP(C52,Products!$A$2:$C$9,3,FALSE)</f>
        <v>90</v>
      </c>
      <c r="H52">
        <f t="shared" ca="1" si="3"/>
        <v>90</v>
      </c>
    </row>
    <row r="53" spans="1:8" x14ac:dyDescent="0.35">
      <c r="A53">
        <f t="shared" si="0"/>
        <v>1052</v>
      </c>
      <c r="B53" s="2">
        <f t="shared" ca="1" si="1"/>
        <v>45717</v>
      </c>
      <c r="C53" t="str" cm="1">
        <f t="array" aca="1" ref="C53" ca="1">INDEX(Products!$A$2:$A$9,RANDBETWEEN(1,8))</f>
        <v>Jacket</v>
      </c>
      <c r="D53" t="str">
        <f ca="1">_xlfn.XLOOKUP(C53,Products!A:A,Products!B:B)</f>
        <v>Training Wear</v>
      </c>
      <c r="E53" t="str" cm="1">
        <f t="array" aca="1" ref="E53" ca="1">INDEX(Regions!$A$2:$A$7,RANDBETWEEN(1,6))</f>
        <v>Waterford</v>
      </c>
      <c r="F53">
        <f t="shared" ca="1" si="2"/>
        <v>5</v>
      </c>
      <c r="G53">
        <f ca="1">VLOOKUP(C53,Products!$A$2:$C$9,3,FALSE)</f>
        <v>90</v>
      </c>
      <c r="H53">
        <f t="shared" ca="1" si="3"/>
        <v>450</v>
      </c>
    </row>
    <row r="54" spans="1:8" x14ac:dyDescent="0.35">
      <c r="A54">
        <f t="shared" si="0"/>
        <v>1053</v>
      </c>
      <c r="B54" s="2">
        <f t="shared" ca="1" si="1"/>
        <v>45607</v>
      </c>
      <c r="C54" t="str" cm="1">
        <f t="array" aca="1" ref="C54" ca="1">INDEX(Products!$A$2:$A$9,RANDBETWEEN(1,8))</f>
        <v>Hat</v>
      </c>
      <c r="D54" t="str">
        <f ca="1">_xlfn.XLOOKUP(C54,Products!A:A,Products!B:B)</f>
        <v>Accessories</v>
      </c>
      <c r="E54" t="str" cm="1">
        <f t="array" aca="1" ref="E54" ca="1">INDEX(Regions!$A$2:$A$7,RANDBETWEEN(1,6))</f>
        <v>Belfast</v>
      </c>
      <c r="F54">
        <f t="shared" ca="1" si="2"/>
        <v>3</v>
      </c>
      <c r="G54">
        <f ca="1">VLOOKUP(C54,Products!$A$2:$C$9,3,FALSE)</f>
        <v>25</v>
      </c>
      <c r="H54">
        <f t="shared" ca="1" si="3"/>
        <v>75</v>
      </c>
    </row>
    <row r="55" spans="1:8" x14ac:dyDescent="0.35">
      <c r="A55">
        <f t="shared" si="0"/>
        <v>1054</v>
      </c>
      <c r="B55" s="2">
        <f t="shared" ca="1" si="1"/>
        <v>45533</v>
      </c>
      <c r="C55" t="str" cm="1">
        <f t="array" aca="1" ref="C55" ca="1">INDEX(Products!$A$2:$A$9,RANDBETWEEN(1,8))</f>
        <v>Training Top</v>
      </c>
      <c r="D55" t="str">
        <f ca="1">_xlfn.XLOOKUP(C55,Products!A:A,Products!B:B)</f>
        <v>Training Wear</v>
      </c>
      <c r="E55" t="str" cm="1">
        <f t="array" aca="1" ref="E55" ca="1">INDEX(Regions!$A$2:$A$7,RANDBETWEEN(1,6))</f>
        <v>Cork</v>
      </c>
      <c r="F55">
        <f t="shared" ca="1" si="2"/>
        <v>1</v>
      </c>
      <c r="G55">
        <f ca="1">VLOOKUP(C55,Products!$A$2:$C$9,3,FALSE)</f>
        <v>55</v>
      </c>
      <c r="H55">
        <f t="shared" ca="1" si="3"/>
        <v>55</v>
      </c>
    </row>
    <row r="56" spans="1:8" x14ac:dyDescent="0.35">
      <c r="A56">
        <f t="shared" si="0"/>
        <v>1055</v>
      </c>
      <c r="B56" s="2">
        <f t="shared" ca="1" si="1"/>
        <v>45483</v>
      </c>
      <c r="C56" t="str" cm="1">
        <f t="array" aca="1" ref="C56" ca="1">INDEX(Products!$A$2:$A$9,RANDBETWEEN(1,8))</f>
        <v>Away Jersey</v>
      </c>
      <c r="D56" t="str">
        <f ca="1">_xlfn.XLOOKUP(C56,Products!A:A,Products!B:B)</f>
        <v>Jerseys</v>
      </c>
      <c r="E56" t="str" cm="1">
        <f t="array" aca="1" ref="E56" ca="1">INDEX(Regions!$A$2:$A$7,RANDBETWEEN(1,6))</f>
        <v>Galway</v>
      </c>
      <c r="F56">
        <f t="shared" ca="1" si="2"/>
        <v>4</v>
      </c>
      <c r="G56">
        <f ca="1">VLOOKUP(C56,Products!$A$2:$C$9,3,FALSE)</f>
        <v>80</v>
      </c>
      <c r="H56">
        <f t="shared" ca="1" si="3"/>
        <v>320</v>
      </c>
    </row>
    <row r="57" spans="1:8" x14ac:dyDescent="0.35">
      <c r="A57">
        <f t="shared" si="0"/>
        <v>1056</v>
      </c>
      <c r="B57" s="2">
        <f t="shared" ca="1" si="1"/>
        <v>45311</v>
      </c>
      <c r="C57" t="str" cm="1">
        <f t="array" aca="1" ref="C57" ca="1">INDEX(Products!$A$2:$A$9,RANDBETWEEN(1,8))</f>
        <v>Scarf</v>
      </c>
      <c r="D57" t="str">
        <f ca="1">_xlfn.XLOOKUP(C57,Products!A:A,Products!B:B)</f>
        <v>Accessories</v>
      </c>
      <c r="E57" t="str" cm="1">
        <f t="array" aca="1" ref="E57" ca="1">INDEX(Regions!$A$2:$A$7,RANDBETWEEN(1,6))</f>
        <v>Limerick</v>
      </c>
      <c r="F57">
        <f t="shared" ca="1" si="2"/>
        <v>3</v>
      </c>
      <c r="G57">
        <f ca="1">VLOOKUP(C57,Products!$A$2:$C$9,3,FALSE)</f>
        <v>20</v>
      </c>
      <c r="H57">
        <f t="shared" ca="1" si="3"/>
        <v>60</v>
      </c>
    </row>
    <row r="58" spans="1:8" x14ac:dyDescent="0.35">
      <c r="A58">
        <f t="shared" si="0"/>
        <v>1057</v>
      </c>
      <c r="B58" s="2">
        <f t="shared" ca="1" si="1"/>
        <v>45940</v>
      </c>
      <c r="C58" t="str" cm="1">
        <f t="array" aca="1" ref="C58" ca="1">INDEX(Products!$A$2:$A$9,RANDBETWEEN(1,8))</f>
        <v>Football</v>
      </c>
      <c r="D58" t="str">
        <f ca="1">_xlfn.XLOOKUP(C58,Products!A:A,Products!B:B)</f>
        <v>Equipment</v>
      </c>
      <c r="E58" t="str" cm="1">
        <f t="array" aca="1" ref="E58" ca="1">INDEX(Regions!$A$2:$A$7,RANDBETWEEN(1,6))</f>
        <v>Dublin</v>
      </c>
      <c r="F58">
        <f t="shared" ca="1" si="2"/>
        <v>4</v>
      </c>
      <c r="G58">
        <f ca="1">VLOOKUP(C58,Products!$A$2:$C$9,3,FALSE)</f>
        <v>30</v>
      </c>
      <c r="H58">
        <f t="shared" ca="1" si="3"/>
        <v>120</v>
      </c>
    </row>
    <row r="59" spans="1:8" x14ac:dyDescent="0.35">
      <c r="A59">
        <f t="shared" si="0"/>
        <v>1058</v>
      </c>
      <c r="B59" s="2">
        <f t="shared" ca="1" si="1"/>
        <v>45785</v>
      </c>
      <c r="C59" t="str" cm="1">
        <f t="array" aca="1" ref="C59" ca="1">INDEX(Products!$A$2:$A$9,RANDBETWEEN(1,8))</f>
        <v>Home Jersey</v>
      </c>
      <c r="D59" t="str">
        <f ca="1">_xlfn.XLOOKUP(C59,Products!A:A,Products!B:B)</f>
        <v>Jerseys</v>
      </c>
      <c r="E59" t="str" cm="1">
        <f t="array" aca="1" ref="E59" ca="1">INDEX(Regions!$A$2:$A$7,RANDBETWEEN(1,6))</f>
        <v>Dublin</v>
      </c>
      <c r="F59">
        <f t="shared" ca="1" si="2"/>
        <v>5</v>
      </c>
      <c r="G59">
        <f ca="1">VLOOKUP(C59,Products!$A$2:$C$9,3,FALSE)</f>
        <v>80</v>
      </c>
      <c r="H59">
        <f t="shared" ca="1" si="3"/>
        <v>400</v>
      </c>
    </row>
    <row r="60" spans="1:8" x14ac:dyDescent="0.35">
      <c r="A60">
        <f t="shared" si="0"/>
        <v>1059</v>
      </c>
      <c r="B60" s="2">
        <f t="shared" ca="1" si="1"/>
        <v>45843</v>
      </c>
      <c r="C60" t="str" cm="1">
        <f t="array" aca="1" ref="C60" ca="1">INDEX(Products!$A$2:$A$9,RANDBETWEEN(1,8))</f>
        <v>Home Jersey</v>
      </c>
      <c r="D60" t="str">
        <f ca="1">_xlfn.XLOOKUP(C60,Products!A:A,Products!B:B)</f>
        <v>Jerseys</v>
      </c>
      <c r="E60" t="str" cm="1">
        <f t="array" aca="1" ref="E60" ca="1">INDEX(Regions!$A$2:$A$7,RANDBETWEEN(1,6))</f>
        <v>Cork</v>
      </c>
      <c r="F60">
        <f t="shared" ca="1" si="2"/>
        <v>4</v>
      </c>
      <c r="G60">
        <f ca="1">VLOOKUP(C60,Products!$A$2:$C$9,3,FALSE)</f>
        <v>80</v>
      </c>
      <c r="H60">
        <f t="shared" ca="1" si="3"/>
        <v>320</v>
      </c>
    </row>
    <row r="61" spans="1:8" x14ac:dyDescent="0.35">
      <c r="A61">
        <f t="shared" si="0"/>
        <v>1060</v>
      </c>
      <c r="B61" s="2">
        <f t="shared" ca="1" si="1"/>
        <v>45645</v>
      </c>
      <c r="C61" t="str" cm="1">
        <f t="array" aca="1" ref="C61" ca="1">INDEX(Products!$A$2:$A$9,RANDBETWEEN(1,8))</f>
        <v>Away Jersey</v>
      </c>
      <c r="D61" t="str">
        <f ca="1">_xlfn.XLOOKUP(C61,Products!A:A,Products!B:B)</f>
        <v>Jerseys</v>
      </c>
      <c r="E61" t="str" cm="1">
        <f t="array" aca="1" ref="E61" ca="1">INDEX(Regions!$A$2:$A$7,RANDBETWEEN(1,6))</f>
        <v>Limerick</v>
      </c>
      <c r="F61">
        <f t="shared" ca="1" si="2"/>
        <v>3</v>
      </c>
      <c r="G61">
        <f ca="1">VLOOKUP(C61,Products!$A$2:$C$9,3,FALSE)</f>
        <v>80</v>
      </c>
      <c r="H61">
        <f t="shared" ca="1" si="3"/>
        <v>240</v>
      </c>
    </row>
    <row r="62" spans="1:8" x14ac:dyDescent="0.35">
      <c r="A62">
        <f t="shared" si="0"/>
        <v>1061</v>
      </c>
      <c r="B62" s="2">
        <f t="shared" ca="1" si="1"/>
        <v>45324</v>
      </c>
      <c r="C62" t="str" cm="1">
        <f t="array" aca="1" ref="C62" ca="1">INDEX(Products!$A$2:$A$9,RANDBETWEEN(1,8))</f>
        <v>Away Jersey</v>
      </c>
      <c r="D62" t="str">
        <f ca="1">_xlfn.XLOOKUP(C62,Products!A:A,Products!B:B)</f>
        <v>Jerseys</v>
      </c>
      <c r="E62" t="str" cm="1">
        <f t="array" aca="1" ref="E62" ca="1">INDEX(Regions!$A$2:$A$7,RANDBETWEEN(1,6))</f>
        <v>Dublin</v>
      </c>
      <c r="F62">
        <f t="shared" ca="1" si="2"/>
        <v>2</v>
      </c>
      <c r="G62">
        <f ca="1">VLOOKUP(C62,Products!$A$2:$C$9,3,FALSE)</f>
        <v>80</v>
      </c>
      <c r="H62">
        <f t="shared" ca="1" si="3"/>
        <v>160</v>
      </c>
    </row>
    <row r="63" spans="1:8" x14ac:dyDescent="0.35">
      <c r="A63">
        <f t="shared" si="0"/>
        <v>1062</v>
      </c>
      <c r="B63" s="2">
        <f t="shared" ca="1" si="1"/>
        <v>45593</v>
      </c>
      <c r="C63" t="str" cm="1">
        <f t="array" aca="1" ref="C63" ca="1">INDEX(Products!$A$2:$A$9,RANDBETWEEN(1,8))</f>
        <v>Home Jersey</v>
      </c>
      <c r="D63" t="str">
        <f ca="1">_xlfn.XLOOKUP(C63,Products!A:A,Products!B:B)</f>
        <v>Jerseys</v>
      </c>
      <c r="E63" t="str" cm="1">
        <f t="array" aca="1" ref="E63" ca="1">INDEX(Regions!$A$2:$A$7,RANDBETWEEN(1,6))</f>
        <v>Waterford</v>
      </c>
      <c r="F63">
        <f t="shared" ca="1" si="2"/>
        <v>4</v>
      </c>
      <c r="G63">
        <f ca="1">VLOOKUP(C63,Products!$A$2:$C$9,3,FALSE)</f>
        <v>80</v>
      </c>
      <c r="H63">
        <f t="shared" ca="1" si="3"/>
        <v>320</v>
      </c>
    </row>
    <row r="64" spans="1:8" x14ac:dyDescent="0.35">
      <c r="A64">
        <f t="shared" si="0"/>
        <v>1063</v>
      </c>
      <c r="B64" s="2">
        <f t="shared" ca="1" si="1"/>
        <v>45475</v>
      </c>
      <c r="C64" t="str" cm="1">
        <f t="array" aca="1" ref="C64" ca="1">INDEX(Products!$A$2:$A$9,RANDBETWEEN(1,8))</f>
        <v>Hat</v>
      </c>
      <c r="D64" t="str">
        <f ca="1">_xlfn.XLOOKUP(C64,Products!A:A,Products!B:B)</f>
        <v>Accessories</v>
      </c>
      <c r="E64" t="str" cm="1">
        <f t="array" aca="1" ref="E64" ca="1">INDEX(Regions!$A$2:$A$7,RANDBETWEEN(1,6))</f>
        <v>Belfast</v>
      </c>
      <c r="F64">
        <f t="shared" ca="1" si="2"/>
        <v>2</v>
      </c>
      <c r="G64">
        <f ca="1">VLOOKUP(C64,Products!$A$2:$C$9,3,FALSE)</f>
        <v>25</v>
      </c>
      <c r="H64">
        <f t="shared" ca="1" si="3"/>
        <v>50</v>
      </c>
    </row>
    <row r="65" spans="1:8" x14ac:dyDescent="0.35">
      <c r="A65">
        <f t="shared" si="0"/>
        <v>1064</v>
      </c>
      <c r="B65" s="2">
        <f t="shared" ca="1" si="1"/>
        <v>45655</v>
      </c>
      <c r="C65" t="str" cm="1">
        <f t="array" aca="1" ref="C65" ca="1">INDEX(Products!$A$2:$A$9,RANDBETWEEN(1,8))</f>
        <v>Scarf</v>
      </c>
      <c r="D65" t="str">
        <f ca="1">_xlfn.XLOOKUP(C65,Products!A:A,Products!B:B)</f>
        <v>Accessories</v>
      </c>
      <c r="E65" t="str" cm="1">
        <f t="array" aca="1" ref="E65" ca="1">INDEX(Regions!$A$2:$A$7,RANDBETWEEN(1,6))</f>
        <v>Dublin</v>
      </c>
      <c r="F65">
        <f t="shared" ca="1" si="2"/>
        <v>4</v>
      </c>
      <c r="G65">
        <f ca="1">VLOOKUP(C65,Products!$A$2:$C$9,3,FALSE)</f>
        <v>20</v>
      </c>
      <c r="H65">
        <f t="shared" ca="1" si="3"/>
        <v>80</v>
      </c>
    </row>
    <row r="66" spans="1:8" x14ac:dyDescent="0.35">
      <c r="A66">
        <f t="shared" si="0"/>
        <v>1065</v>
      </c>
      <c r="B66" s="2">
        <f t="shared" ca="1" si="1"/>
        <v>45403</v>
      </c>
      <c r="C66" t="str" cm="1">
        <f t="array" aca="1" ref="C66" ca="1">INDEX(Products!$A$2:$A$9,RANDBETWEEN(1,8))</f>
        <v>Football</v>
      </c>
      <c r="D66" t="str">
        <f ca="1">_xlfn.XLOOKUP(C66,Products!A:A,Products!B:B)</f>
        <v>Equipment</v>
      </c>
      <c r="E66" t="str" cm="1">
        <f t="array" aca="1" ref="E66" ca="1">INDEX(Regions!$A$2:$A$7,RANDBETWEEN(1,6))</f>
        <v>Cork</v>
      </c>
      <c r="F66">
        <f t="shared" ca="1" si="2"/>
        <v>1</v>
      </c>
      <c r="G66">
        <f ca="1">VLOOKUP(C66,Products!$A$2:$C$9,3,FALSE)</f>
        <v>30</v>
      </c>
      <c r="H66">
        <f t="shared" ca="1" si="3"/>
        <v>30</v>
      </c>
    </row>
    <row r="67" spans="1:8" x14ac:dyDescent="0.35">
      <c r="A67">
        <f t="shared" ref="A67:A130" si="4">ROW()+999</f>
        <v>1066</v>
      </c>
      <c r="B67" s="2">
        <f t="shared" ref="B67:B130" ca="1" si="5">DATE(2024,1,1)+RANDBETWEEN(0,730)</f>
        <v>45945</v>
      </c>
      <c r="C67" t="str" cm="1">
        <f t="array" aca="1" ref="C67" ca="1">INDEX(Products!$A$2:$A$9,RANDBETWEEN(1,8))</f>
        <v>Jacket</v>
      </c>
      <c r="D67" t="str">
        <f ca="1">_xlfn.XLOOKUP(C67,Products!A:A,Products!B:B)</f>
        <v>Training Wear</v>
      </c>
      <c r="E67" t="str" cm="1">
        <f t="array" aca="1" ref="E67" ca="1">INDEX(Regions!$A$2:$A$7,RANDBETWEEN(1,6))</f>
        <v>Galway</v>
      </c>
      <c r="F67">
        <f t="shared" ref="F67:F130" ca="1" si="6">RANDBETWEEN(1,5)</f>
        <v>5</v>
      </c>
      <c r="G67">
        <f ca="1">VLOOKUP(C67,Products!$A$2:$C$9,3,FALSE)</f>
        <v>90</v>
      </c>
      <c r="H67">
        <f t="shared" ref="H67:H130" ca="1" si="7">F67*G67</f>
        <v>450</v>
      </c>
    </row>
    <row r="68" spans="1:8" x14ac:dyDescent="0.35">
      <c r="A68">
        <f t="shared" si="4"/>
        <v>1067</v>
      </c>
      <c r="B68" s="2">
        <f t="shared" ca="1" si="5"/>
        <v>45660</v>
      </c>
      <c r="C68" t="str" cm="1">
        <f t="array" aca="1" ref="C68" ca="1">INDEX(Products!$A$2:$A$9,RANDBETWEEN(1,8))</f>
        <v>Hat</v>
      </c>
      <c r="D68" t="str">
        <f ca="1">_xlfn.XLOOKUP(C68,Products!A:A,Products!B:B)</f>
        <v>Accessories</v>
      </c>
      <c r="E68" t="str" cm="1">
        <f t="array" aca="1" ref="E68" ca="1">INDEX(Regions!$A$2:$A$7,RANDBETWEEN(1,6))</f>
        <v>Galway</v>
      </c>
      <c r="F68">
        <f t="shared" ca="1" si="6"/>
        <v>2</v>
      </c>
      <c r="G68">
        <f ca="1">VLOOKUP(C68,Products!$A$2:$C$9,3,FALSE)</f>
        <v>25</v>
      </c>
      <c r="H68">
        <f t="shared" ca="1" si="7"/>
        <v>50</v>
      </c>
    </row>
    <row r="69" spans="1:8" x14ac:dyDescent="0.35">
      <c r="A69">
        <f t="shared" si="4"/>
        <v>1068</v>
      </c>
      <c r="B69" s="2">
        <f t="shared" ca="1" si="5"/>
        <v>45362</v>
      </c>
      <c r="C69" t="str" cm="1">
        <f t="array" aca="1" ref="C69" ca="1">INDEX(Products!$A$2:$A$9,RANDBETWEEN(1,8))</f>
        <v>Jacket</v>
      </c>
      <c r="D69" t="str">
        <f ca="1">_xlfn.XLOOKUP(C69,Products!A:A,Products!B:B)</f>
        <v>Training Wear</v>
      </c>
      <c r="E69" t="str" cm="1">
        <f t="array" aca="1" ref="E69" ca="1">INDEX(Regions!$A$2:$A$7,RANDBETWEEN(1,6))</f>
        <v>Galway</v>
      </c>
      <c r="F69">
        <f t="shared" ca="1" si="6"/>
        <v>5</v>
      </c>
      <c r="G69">
        <f ca="1">VLOOKUP(C69,Products!$A$2:$C$9,3,FALSE)</f>
        <v>90</v>
      </c>
      <c r="H69">
        <f t="shared" ca="1" si="7"/>
        <v>450</v>
      </c>
    </row>
    <row r="70" spans="1:8" x14ac:dyDescent="0.35">
      <c r="A70">
        <f t="shared" si="4"/>
        <v>1069</v>
      </c>
      <c r="B70" s="2">
        <f t="shared" ca="1" si="5"/>
        <v>45397</v>
      </c>
      <c r="C70" t="str" cm="1">
        <f t="array" aca="1" ref="C70" ca="1">INDEX(Products!$A$2:$A$9,RANDBETWEEN(1,8))</f>
        <v>Jacket</v>
      </c>
      <c r="D70" t="str">
        <f ca="1">_xlfn.XLOOKUP(C70,Products!A:A,Products!B:B)</f>
        <v>Training Wear</v>
      </c>
      <c r="E70" t="str" cm="1">
        <f t="array" aca="1" ref="E70" ca="1">INDEX(Regions!$A$2:$A$7,RANDBETWEEN(1,6))</f>
        <v>Limerick</v>
      </c>
      <c r="F70">
        <f t="shared" ca="1" si="6"/>
        <v>4</v>
      </c>
      <c r="G70">
        <f ca="1">VLOOKUP(C70,Products!$A$2:$C$9,3,FALSE)</f>
        <v>90</v>
      </c>
      <c r="H70">
        <f t="shared" ca="1" si="7"/>
        <v>360</v>
      </c>
    </row>
    <row r="71" spans="1:8" x14ac:dyDescent="0.35">
      <c r="A71">
        <f t="shared" si="4"/>
        <v>1070</v>
      </c>
      <c r="B71" s="2">
        <f t="shared" ca="1" si="5"/>
        <v>45660</v>
      </c>
      <c r="C71" t="str" cm="1">
        <f t="array" aca="1" ref="C71" ca="1">INDEX(Products!$A$2:$A$9,RANDBETWEEN(1,8))</f>
        <v>Training Top</v>
      </c>
      <c r="D71" t="str">
        <f ca="1">_xlfn.XLOOKUP(C71,Products!A:A,Products!B:B)</f>
        <v>Training Wear</v>
      </c>
      <c r="E71" t="str" cm="1">
        <f t="array" aca="1" ref="E71" ca="1">INDEX(Regions!$A$2:$A$7,RANDBETWEEN(1,6))</f>
        <v>Cork</v>
      </c>
      <c r="F71">
        <f t="shared" ca="1" si="6"/>
        <v>4</v>
      </c>
      <c r="G71">
        <f ca="1">VLOOKUP(C71,Products!$A$2:$C$9,3,FALSE)</f>
        <v>55</v>
      </c>
      <c r="H71">
        <f t="shared" ca="1" si="7"/>
        <v>220</v>
      </c>
    </row>
    <row r="72" spans="1:8" x14ac:dyDescent="0.35">
      <c r="A72">
        <f t="shared" si="4"/>
        <v>1071</v>
      </c>
      <c r="B72" s="2">
        <f t="shared" ca="1" si="5"/>
        <v>45775</v>
      </c>
      <c r="C72" t="str" cm="1">
        <f t="array" aca="1" ref="C72" ca="1">INDEX(Products!$A$2:$A$9,RANDBETWEEN(1,8))</f>
        <v>Jacket</v>
      </c>
      <c r="D72" t="str">
        <f ca="1">_xlfn.XLOOKUP(C72,Products!A:A,Products!B:B)</f>
        <v>Training Wear</v>
      </c>
      <c r="E72" t="str" cm="1">
        <f t="array" aca="1" ref="E72" ca="1">INDEX(Regions!$A$2:$A$7,RANDBETWEEN(1,6))</f>
        <v>Dublin</v>
      </c>
      <c r="F72">
        <f t="shared" ca="1" si="6"/>
        <v>4</v>
      </c>
      <c r="G72">
        <f ca="1">VLOOKUP(C72,Products!$A$2:$C$9,3,FALSE)</f>
        <v>90</v>
      </c>
      <c r="H72">
        <f t="shared" ca="1" si="7"/>
        <v>360</v>
      </c>
    </row>
    <row r="73" spans="1:8" x14ac:dyDescent="0.35">
      <c r="A73">
        <f t="shared" si="4"/>
        <v>1072</v>
      </c>
      <c r="B73" s="2">
        <f t="shared" ca="1" si="5"/>
        <v>45313</v>
      </c>
      <c r="C73" t="str" cm="1">
        <f t="array" aca="1" ref="C73" ca="1">INDEX(Products!$A$2:$A$9,RANDBETWEEN(1,8))</f>
        <v>Jacket</v>
      </c>
      <c r="D73" t="str">
        <f ca="1">_xlfn.XLOOKUP(C73,Products!A:A,Products!B:B)</f>
        <v>Training Wear</v>
      </c>
      <c r="E73" t="str" cm="1">
        <f t="array" aca="1" ref="E73" ca="1">INDEX(Regions!$A$2:$A$7,RANDBETWEEN(1,6))</f>
        <v>Cork</v>
      </c>
      <c r="F73">
        <f t="shared" ca="1" si="6"/>
        <v>4</v>
      </c>
      <c r="G73">
        <f ca="1">VLOOKUP(C73,Products!$A$2:$C$9,3,FALSE)</f>
        <v>90</v>
      </c>
      <c r="H73">
        <f t="shared" ca="1" si="7"/>
        <v>360</v>
      </c>
    </row>
    <row r="74" spans="1:8" x14ac:dyDescent="0.35">
      <c r="A74">
        <f t="shared" si="4"/>
        <v>1073</v>
      </c>
      <c r="B74" s="2">
        <f t="shared" ca="1" si="5"/>
        <v>45538</v>
      </c>
      <c r="C74" t="str" cm="1">
        <f t="array" aca="1" ref="C74" ca="1">INDEX(Products!$A$2:$A$9,RANDBETWEEN(1,8))</f>
        <v>Hat</v>
      </c>
      <c r="D74" t="str">
        <f ca="1">_xlfn.XLOOKUP(C74,Products!A:A,Products!B:B)</f>
        <v>Accessories</v>
      </c>
      <c r="E74" t="str" cm="1">
        <f t="array" aca="1" ref="E74" ca="1">INDEX(Regions!$A$2:$A$7,RANDBETWEEN(1,6))</f>
        <v>Galway</v>
      </c>
      <c r="F74">
        <f t="shared" ca="1" si="6"/>
        <v>3</v>
      </c>
      <c r="G74">
        <f ca="1">VLOOKUP(C74,Products!$A$2:$C$9,3,FALSE)</f>
        <v>25</v>
      </c>
      <c r="H74">
        <f t="shared" ca="1" si="7"/>
        <v>75</v>
      </c>
    </row>
    <row r="75" spans="1:8" x14ac:dyDescent="0.35">
      <c r="A75">
        <f t="shared" si="4"/>
        <v>1074</v>
      </c>
      <c r="B75" s="2">
        <f t="shared" ca="1" si="5"/>
        <v>45761</v>
      </c>
      <c r="C75" t="str" cm="1">
        <f t="array" aca="1" ref="C75" ca="1">INDEX(Products!$A$2:$A$9,RANDBETWEEN(1,8))</f>
        <v>Training Top</v>
      </c>
      <c r="D75" t="str">
        <f ca="1">_xlfn.XLOOKUP(C75,Products!A:A,Products!B:B)</f>
        <v>Training Wear</v>
      </c>
      <c r="E75" t="str" cm="1">
        <f t="array" aca="1" ref="E75" ca="1">INDEX(Regions!$A$2:$A$7,RANDBETWEEN(1,6))</f>
        <v>Cork</v>
      </c>
      <c r="F75">
        <f t="shared" ca="1" si="6"/>
        <v>1</v>
      </c>
      <c r="G75">
        <f ca="1">VLOOKUP(C75,Products!$A$2:$C$9,3,FALSE)</f>
        <v>55</v>
      </c>
      <c r="H75">
        <f t="shared" ca="1" si="7"/>
        <v>55</v>
      </c>
    </row>
    <row r="76" spans="1:8" x14ac:dyDescent="0.35">
      <c r="A76">
        <f t="shared" si="4"/>
        <v>1075</v>
      </c>
      <c r="B76" s="2">
        <f t="shared" ca="1" si="5"/>
        <v>45409</v>
      </c>
      <c r="C76" t="str" cm="1">
        <f t="array" aca="1" ref="C76" ca="1">INDEX(Products!$A$2:$A$9,RANDBETWEEN(1,8))</f>
        <v>Football</v>
      </c>
      <c r="D76" t="str">
        <f ca="1">_xlfn.XLOOKUP(C76,Products!A:A,Products!B:B)</f>
        <v>Equipment</v>
      </c>
      <c r="E76" t="str" cm="1">
        <f t="array" aca="1" ref="E76" ca="1">INDEX(Regions!$A$2:$A$7,RANDBETWEEN(1,6))</f>
        <v>Dublin</v>
      </c>
      <c r="F76">
        <f t="shared" ca="1" si="6"/>
        <v>5</v>
      </c>
      <c r="G76">
        <f ca="1">VLOOKUP(C76,Products!$A$2:$C$9,3,FALSE)</f>
        <v>30</v>
      </c>
      <c r="H76">
        <f t="shared" ca="1" si="7"/>
        <v>150</v>
      </c>
    </row>
    <row r="77" spans="1:8" x14ac:dyDescent="0.35">
      <c r="A77">
        <f t="shared" si="4"/>
        <v>1076</v>
      </c>
      <c r="B77" s="2">
        <f t="shared" ca="1" si="5"/>
        <v>45450</v>
      </c>
      <c r="C77" t="str" cm="1">
        <f t="array" aca="1" ref="C77" ca="1">INDEX(Products!$A$2:$A$9,RANDBETWEEN(1,8))</f>
        <v>Hat</v>
      </c>
      <c r="D77" t="str">
        <f ca="1">_xlfn.XLOOKUP(C77,Products!A:A,Products!B:B)</f>
        <v>Accessories</v>
      </c>
      <c r="E77" t="str" cm="1">
        <f t="array" aca="1" ref="E77" ca="1">INDEX(Regions!$A$2:$A$7,RANDBETWEEN(1,6))</f>
        <v>Galway</v>
      </c>
      <c r="F77">
        <f t="shared" ca="1" si="6"/>
        <v>5</v>
      </c>
      <c r="G77">
        <f ca="1">VLOOKUP(C77,Products!$A$2:$C$9,3,FALSE)</f>
        <v>25</v>
      </c>
      <c r="H77">
        <f t="shared" ca="1" si="7"/>
        <v>125</v>
      </c>
    </row>
    <row r="78" spans="1:8" x14ac:dyDescent="0.35">
      <c r="A78">
        <f t="shared" si="4"/>
        <v>1077</v>
      </c>
      <c r="B78" s="2">
        <f t="shared" ca="1" si="5"/>
        <v>45664</v>
      </c>
      <c r="C78" t="str" cm="1">
        <f t="array" aca="1" ref="C78" ca="1">INDEX(Products!$A$2:$A$9,RANDBETWEEN(1,8))</f>
        <v>Away Jersey</v>
      </c>
      <c r="D78" t="str">
        <f ca="1">_xlfn.XLOOKUP(C78,Products!A:A,Products!B:B)</f>
        <v>Jerseys</v>
      </c>
      <c r="E78" t="str" cm="1">
        <f t="array" aca="1" ref="E78" ca="1">INDEX(Regions!$A$2:$A$7,RANDBETWEEN(1,6))</f>
        <v>Galway</v>
      </c>
      <c r="F78">
        <f t="shared" ca="1" si="6"/>
        <v>3</v>
      </c>
      <c r="G78">
        <f ca="1">VLOOKUP(C78,Products!$A$2:$C$9,3,FALSE)</f>
        <v>80</v>
      </c>
      <c r="H78">
        <f t="shared" ca="1" si="7"/>
        <v>240</v>
      </c>
    </row>
    <row r="79" spans="1:8" x14ac:dyDescent="0.35">
      <c r="A79">
        <f t="shared" si="4"/>
        <v>1078</v>
      </c>
      <c r="B79" s="2">
        <f t="shared" ca="1" si="5"/>
        <v>46012</v>
      </c>
      <c r="C79" t="str" cm="1">
        <f t="array" aca="1" ref="C79" ca="1">INDEX(Products!$A$2:$A$9,RANDBETWEEN(1,8))</f>
        <v>Third Jersey</v>
      </c>
      <c r="D79" t="str">
        <f ca="1">_xlfn.XLOOKUP(C79,Products!A:A,Products!B:B)</f>
        <v>Jerseys</v>
      </c>
      <c r="E79" t="str" cm="1">
        <f t="array" aca="1" ref="E79" ca="1">INDEX(Regions!$A$2:$A$7,RANDBETWEEN(1,6))</f>
        <v>Limerick</v>
      </c>
      <c r="F79">
        <f t="shared" ca="1" si="6"/>
        <v>1</v>
      </c>
      <c r="G79">
        <f ca="1">VLOOKUP(C79,Products!$A$2:$C$9,3,FALSE)</f>
        <v>85</v>
      </c>
      <c r="H79">
        <f t="shared" ca="1" si="7"/>
        <v>85</v>
      </c>
    </row>
    <row r="80" spans="1:8" x14ac:dyDescent="0.35">
      <c r="A80">
        <f t="shared" si="4"/>
        <v>1079</v>
      </c>
      <c r="B80" s="2">
        <f t="shared" ca="1" si="5"/>
        <v>45904</v>
      </c>
      <c r="C80" t="str" cm="1">
        <f t="array" aca="1" ref="C80" ca="1">INDEX(Products!$A$2:$A$9,RANDBETWEEN(1,8))</f>
        <v>Home Jersey</v>
      </c>
      <c r="D80" t="str">
        <f ca="1">_xlfn.XLOOKUP(C80,Products!A:A,Products!B:B)</f>
        <v>Jerseys</v>
      </c>
      <c r="E80" t="str" cm="1">
        <f t="array" aca="1" ref="E80" ca="1">INDEX(Regions!$A$2:$A$7,RANDBETWEEN(1,6))</f>
        <v>Limerick</v>
      </c>
      <c r="F80">
        <f t="shared" ca="1" si="6"/>
        <v>5</v>
      </c>
      <c r="G80">
        <f ca="1">VLOOKUP(C80,Products!$A$2:$C$9,3,FALSE)</f>
        <v>80</v>
      </c>
      <c r="H80">
        <f t="shared" ca="1" si="7"/>
        <v>400</v>
      </c>
    </row>
    <row r="81" spans="1:8" x14ac:dyDescent="0.35">
      <c r="A81">
        <f t="shared" si="4"/>
        <v>1080</v>
      </c>
      <c r="B81" s="2">
        <f t="shared" ca="1" si="5"/>
        <v>45506</v>
      </c>
      <c r="C81" t="str" cm="1">
        <f t="array" aca="1" ref="C81" ca="1">INDEX(Products!$A$2:$A$9,RANDBETWEEN(1,8))</f>
        <v>Home Jersey</v>
      </c>
      <c r="D81" t="str">
        <f ca="1">_xlfn.XLOOKUP(C81,Products!A:A,Products!B:B)</f>
        <v>Jerseys</v>
      </c>
      <c r="E81" t="str" cm="1">
        <f t="array" aca="1" ref="E81" ca="1">INDEX(Regions!$A$2:$A$7,RANDBETWEEN(1,6))</f>
        <v>Belfast</v>
      </c>
      <c r="F81">
        <f t="shared" ca="1" si="6"/>
        <v>4</v>
      </c>
      <c r="G81">
        <f ca="1">VLOOKUP(C81,Products!$A$2:$C$9,3,FALSE)</f>
        <v>80</v>
      </c>
      <c r="H81">
        <f t="shared" ca="1" si="7"/>
        <v>320</v>
      </c>
    </row>
    <row r="82" spans="1:8" x14ac:dyDescent="0.35">
      <c r="A82">
        <f t="shared" si="4"/>
        <v>1081</v>
      </c>
      <c r="B82" s="2">
        <f t="shared" ca="1" si="5"/>
        <v>45686</v>
      </c>
      <c r="C82" t="str" cm="1">
        <f t="array" aca="1" ref="C82" ca="1">INDEX(Products!$A$2:$A$9,RANDBETWEEN(1,8))</f>
        <v>Third Jersey</v>
      </c>
      <c r="D82" t="str">
        <f ca="1">_xlfn.XLOOKUP(C82,Products!A:A,Products!B:B)</f>
        <v>Jerseys</v>
      </c>
      <c r="E82" t="str" cm="1">
        <f t="array" aca="1" ref="E82" ca="1">INDEX(Regions!$A$2:$A$7,RANDBETWEEN(1,6))</f>
        <v>Galway</v>
      </c>
      <c r="F82">
        <f t="shared" ca="1" si="6"/>
        <v>3</v>
      </c>
      <c r="G82">
        <f ca="1">VLOOKUP(C82,Products!$A$2:$C$9,3,FALSE)</f>
        <v>85</v>
      </c>
      <c r="H82">
        <f t="shared" ca="1" si="7"/>
        <v>255</v>
      </c>
    </row>
    <row r="83" spans="1:8" x14ac:dyDescent="0.35">
      <c r="A83">
        <f t="shared" si="4"/>
        <v>1082</v>
      </c>
      <c r="B83" s="2">
        <f t="shared" ca="1" si="5"/>
        <v>45756</v>
      </c>
      <c r="C83" t="str" cm="1">
        <f t="array" aca="1" ref="C83" ca="1">INDEX(Products!$A$2:$A$9,RANDBETWEEN(1,8))</f>
        <v>Home Jersey</v>
      </c>
      <c r="D83" t="str">
        <f ca="1">_xlfn.XLOOKUP(C83,Products!A:A,Products!B:B)</f>
        <v>Jerseys</v>
      </c>
      <c r="E83" t="str" cm="1">
        <f t="array" aca="1" ref="E83" ca="1">INDEX(Regions!$A$2:$A$7,RANDBETWEEN(1,6))</f>
        <v>Belfast</v>
      </c>
      <c r="F83">
        <f t="shared" ca="1" si="6"/>
        <v>4</v>
      </c>
      <c r="G83">
        <f ca="1">VLOOKUP(C83,Products!$A$2:$C$9,3,FALSE)</f>
        <v>80</v>
      </c>
      <c r="H83">
        <f t="shared" ca="1" si="7"/>
        <v>320</v>
      </c>
    </row>
    <row r="84" spans="1:8" x14ac:dyDescent="0.35">
      <c r="A84">
        <f t="shared" si="4"/>
        <v>1083</v>
      </c>
      <c r="B84" s="2">
        <f t="shared" ca="1" si="5"/>
        <v>45422</v>
      </c>
      <c r="C84" t="str" cm="1">
        <f t="array" aca="1" ref="C84" ca="1">INDEX(Products!$A$2:$A$9,RANDBETWEEN(1,8))</f>
        <v>Hat</v>
      </c>
      <c r="D84" t="str">
        <f ca="1">_xlfn.XLOOKUP(C84,Products!A:A,Products!B:B)</f>
        <v>Accessories</v>
      </c>
      <c r="E84" t="str" cm="1">
        <f t="array" aca="1" ref="E84" ca="1">INDEX(Regions!$A$2:$A$7,RANDBETWEEN(1,6))</f>
        <v>Belfast</v>
      </c>
      <c r="F84">
        <f t="shared" ca="1" si="6"/>
        <v>5</v>
      </c>
      <c r="G84">
        <f ca="1">VLOOKUP(C84,Products!$A$2:$C$9,3,FALSE)</f>
        <v>25</v>
      </c>
      <c r="H84">
        <f t="shared" ca="1" si="7"/>
        <v>125</v>
      </c>
    </row>
    <row r="85" spans="1:8" x14ac:dyDescent="0.35">
      <c r="A85">
        <f t="shared" si="4"/>
        <v>1084</v>
      </c>
      <c r="B85" s="2">
        <f t="shared" ca="1" si="5"/>
        <v>45770</v>
      </c>
      <c r="C85" t="str" cm="1">
        <f t="array" aca="1" ref="C85" ca="1">INDEX(Products!$A$2:$A$9,RANDBETWEEN(1,8))</f>
        <v>Third Jersey</v>
      </c>
      <c r="D85" t="str">
        <f ca="1">_xlfn.XLOOKUP(C85,Products!A:A,Products!B:B)</f>
        <v>Jerseys</v>
      </c>
      <c r="E85" t="str" cm="1">
        <f t="array" aca="1" ref="E85" ca="1">INDEX(Regions!$A$2:$A$7,RANDBETWEEN(1,6))</f>
        <v>Belfast</v>
      </c>
      <c r="F85">
        <f t="shared" ca="1" si="6"/>
        <v>3</v>
      </c>
      <c r="G85">
        <f ca="1">VLOOKUP(C85,Products!$A$2:$C$9,3,FALSE)</f>
        <v>85</v>
      </c>
      <c r="H85">
        <f t="shared" ca="1" si="7"/>
        <v>255</v>
      </c>
    </row>
    <row r="86" spans="1:8" x14ac:dyDescent="0.35">
      <c r="A86">
        <f t="shared" si="4"/>
        <v>1085</v>
      </c>
      <c r="B86" s="2">
        <f t="shared" ca="1" si="5"/>
        <v>45849</v>
      </c>
      <c r="C86" t="str" cm="1">
        <f t="array" aca="1" ref="C86" ca="1">INDEX(Products!$A$2:$A$9,RANDBETWEEN(1,8))</f>
        <v>Third Jersey</v>
      </c>
      <c r="D86" t="str">
        <f ca="1">_xlfn.XLOOKUP(C86,Products!A:A,Products!B:B)</f>
        <v>Jerseys</v>
      </c>
      <c r="E86" t="str" cm="1">
        <f t="array" aca="1" ref="E86" ca="1">INDEX(Regions!$A$2:$A$7,RANDBETWEEN(1,6))</f>
        <v>Waterford</v>
      </c>
      <c r="F86">
        <f t="shared" ca="1" si="6"/>
        <v>1</v>
      </c>
      <c r="G86">
        <f ca="1">VLOOKUP(C86,Products!$A$2:$C$9,3,FALSE)</f>
        <v>85</v>
      </c>
      <c r="H86">
        <f t="shared" ca="1" si="7"/>
        <v>85</v>
      </c>
    </row>
    <row r="87" spans="1:8" x14ac:dyDescent="0.35">
      <c r="A87">
        <f t="shared" si="4"/>
        <v>1086</v>
      </c>
      <c r="B87" s="2">
        <f t="shared" ca="1" si="5"/>
        <v>45753</v>
      </c>
      <c r="C87" t="str" cm="1">
        <f t="array" aca="1" ref="C87" ca="1">INDEX(Products!$A$2:$A$9,RANDBETWEEN(1,8))</f>
        <v>Home Jersey</v>
      </c>
      <c r="D87" t="str">
        <f ca="1">_xlfn.XLOOKUP(C87,Products!A:A,Products!B:B)</f>
        <v>Jerseys</v>
      </c>
      <c r="E87" t="str" cm="1">
        <f t="array" aca="1" ref="E87" ca="1">INDEX(Regions!$A$2:$A$7,RANDBETWEEN(1,6))</f>
        <v>Limerick</v>
      </c>
      <c r="F87">
        <f t="shared" ca="1" si="6"/>
        <v>3</v>
      </c>
      <c r="G87">
        <f ca="1">VLOOKUP(C87,Products!$A$2:$C$9,3,FALSE)</f>
        <v>80</v>
      </c>
      <c r="H87">
        <f t="shared" ca="1" si="7"/>
        <v>240</v>
      </c>
    </row>
    <row r="88" spans="1:8" x14ac:dyDescent="0.35">
      <c r="A88">
        <f t="shared" si="4"/>
        <v>1087</v>
      </c>
      <c r="B88" s="2">
        <f t="shared" ca="1" si="5"/>
        <v>45375</v>
      </c>
      <c r="C88" t="str" cm="1">
        <f t="array" aca="1" ref="C88" ca="1">INDEX(Products!$A$2:$A$9,RANDBETWEEN(1,8))</f>
        <v>Jacket</v>
      </c>
      <c r="D88" t="str">
        <f ca="1">_xlfn.XLOOKUP(C88,Products!A:A,Products!B:B)</f>
        <v>Training Wear</v>
      </c>
      <c r="E88" t="str" cm="1">
        <f t="array" aca="1" ref="E88" ca="1">INDEX(Regions!$A$2:$A$7,RANDBETWEEN(1,6))</f>
        <v>Waterford</v>
      </c>
      <c r="F88">
        <f t="shared" ca="1" si="6"/>
        <v>1</v>
      </c>
      <c r="G88">
        <f ca="1">VLOOKUP(C88,Products!$A$2:$C$9,3,FALSE)</f>
        <v>90</v>
      </c>
      <c r="H88">
        <f t="shared" ca="1" si="7"/>
        <v>90</v>
      </c>
    </row>
    <row r="89" spans="1:8" x14ac:dyDescent="0.35">
      <c r="A89">
        <f t="shared" si="4"/>
        <v>1088</v>
      </c>
      <c r="B89" s="2">
        <f t="shared" ca="1" si="5"/>
        <v>45664</v>
      </c>
      <c r="C89" t="str" cm="1">
        <f t="array" aca="1" ref="C89" ca="1">INDEX(Products!$A$2:$A$9,RANDBETWEEN(1,8))</f>
        <v>Football</v>
      </c>
      <c r="D89" t="str">
        <f ca="1">_xlfn.XLOOKUP(C89,Products!A:A,Products!B:B)</f>
        <v>Equipment</v>
      </c>
      <c r="E89" t="str" cm="1">
        <f t="array" aca="1" ref="E89" ca="1">INDEX(Regions!$A$2:$A$7,RANDBETWEEN(1,6))</f>
        <v>Galway</v>
      </c>
      <c r="F89">
        <f t="shared" ca="1" si="6"/>
        <v>2</v>
      </c>
      <c r="G89">
        <f ca="1">VLOOKUP(C89,Products!$A$2:$C$9,3,FALSE)</f>
        <v>30</v>
      </c>
      <c r="H89">
        <f t="shared" ca="1" si="7"/>
        <v>60</v>
      </c>
    </row>
    <row r="90" spans="1:8" x14ac:dyDescent="0.35">
      <c r="A90">
        <f t="shared" si="4"/>
        <v>1089</v>
      </c>
      <c r="B90" s="2">
        <f t="shared" ca="1" si="5"/>
        <v>45789</v>
      </c>
      <c r="C90" t="str" cm="1">
        <f t="array" aca="1" ref="C90" ca="1">INDEX(Products!$A$2:$A$9,RANDBETWEEN(1,8))</f>
        <v>Football</v>
      </c>
      <c r="D90" t="str">
        <f ca="1">_xlfn.XLOOKUP(C90,Products!A:A,Products!B:B)</f>
        <v>Equipment</v>
      </c>
      <c r="E90" t="str" cm="1">
        <f t="array" aca="1" ref="E90" ca="1">INDEX(Regions!$A$2:$A$7,RANDBETWEEN(1,6))</f>
        <v>Cork</v>
      </c>
      <c r="F90">
        <f t="shared" ca="1" si="6"/>
        <v>5</v>
      </c>
      <c r="G90">
        <f ca="1">VLOOKUP(C90,Products!$A$2:$C$9,3,FALSE)</f>
        <v>30</v>
      </c>
      <c r="H90">
        <f t="shared" ca="1" si="7"/>
        <v>150</v>
      </c>
    </row>
    <row r="91" spans="1:8" x14ac:dyDescent="0.35">
      <c r="A91">
        <f t="shared" si="4"/>
        <v>1090</v>
      </c>
      <c r="B91" s="2">
        <f t="shared" ca="1" si="5"/>
        <v>45655</v>
      </c>
      <c r="C91" t="str" cm="1">
        <f t="array" aca="1" ref="C91" ca="1">INDEX(Products!$A$2:$A$9,RANDBETWEEN(1,8))</f>
        <v>Home Jersey</v>
      </c>
      <c r="D91" t="str">
        <f ca="1">_xlfn.XLOOKUP(C91,Products!A:A,Products!B:B)</f>
        <v>Jerseys</v>
      </c>
      <c r="E91" t="str" cm="1">
        <f t="array" aca="1" ref="E91" ca="1">INDEX(Regions!$A$2:$A$7,RANDBETWEEN(1,6))</f>
        <v>Waterford</v>
      </c>
      <c r="F91">
        <f t="shared" ca="1" si="6"/>
        <v>1</v>
      </c>
      <c r="G91">
        <f ca="1">VLOOKUP(C91,Products!$A$2:$C$9,3,FALSE)</f>
        <v>80</v>
      </c>
      <c r="H91">
        <f t="shared" ca="1" si="7"/>
        <v>80</v>
      </c>
    </row>
    <row r="92" spans="1:8" x14ac:dyDescent="0.35">
      <c r="A92">
        <f t="shared" si="4"/>
        <v>1091</v>
      </c>
      <c r="B92" s="2">
        <f t="shared" ca="1" si="5"/>
        <v>46017</v>
      </c>
      <c r="C92" t="str" cm="1">
        <f t="array" aca="1" ref="C92" ca="1">INDEX(Products!$A$2:$A$9,RANDBETWEEN(1,8))</f>
        <v>Jacket</v>
      </c>
      <c r="D92" t="str">
        <f ca="1">_xlfn.XLOOKUP(C92,Products!A:A,Products!B:B)</f>
        <v>Training Wear</v>
      </c>
      <c r="E92" t="str" cm="1">
        <f t="array" aca="1" ref="E92" ca="1">INDEX(Regions!$A$2:$A$7,RANDBETWEEN(1,6))</f>
        <v>Belfast</v>
      </c>
      <c r="F92">
        <f t="shared" ca="1" si="6"/>
        <v>3</v>
      </c>
      <c r="G92">
        <f ca="1">VLOOKUP(C92,Products!$A$2:$C$9,3,FALSE)</f>
        <v>90</v>
      </c>
      <c r="H92">
        <f t="shared" ca="1" si="7"/>
        <v>270</v>
      </c>
    </row>
    <row r="93" spans="1:8" x14ac:dyDescent="0.35">
      <c r="A93">
        <f t="shared" si="4"/>
        <v>1092</v>
      </c>
      <c r="B93" s="2">
        <f t="shared" ca="1" si="5"/>
        <v>45708</v>
      </c>
      <c r="C93" t="str" cm="1">
        <f t="array" aca="1" ref="C93" ca="1">INDEX(Products!$A$2:$A$9,RANDBETWEEN(1,8))</f>
        <v>Home Jersey</v>
      </c>
      <c r="D93" t="str">
        <f ca="1">_xlfn.XLOOKUP(C93,Products!A:A,Products!B:B)</f>
        <v>Jerseys</v>
      </c>
      <c r="E93" t="str" cm="1">
        <f t="array" aca="1" ref="E93" ca="1">INDEX(Regions!$A$2:$A$7,RANDBETWEEN(1,6))</f>
        <v>Galway</v>
      </c>
      <c r="F93">
        <f t="shared" ca="1" si="6"/>
        <v>3</v>
      </c>
      <c r="G93">
        <f ca="1">VLOOKUP(C93,Products!$A$2:$C$9,3,FALSE)</f>
        <v>80</v>
      </c>
      <c r="H93">
        <f t="shared" ca="1" si="7"/>
        <v>240</v>
      </c>
    </row>
    <row r="94" spans="1:8" x14ac:dyDescent="0.35">
      <c r="A94">
        <f t="shared" si="4"/>
        <v>1093</v>
      </c>
      <c r="B94" s="2">
        <f t="shared" ca="1" si="5"/>
        <v>45652</v>
      </c>
      <c r="C94" t="str" cm="1">
        <f t="array" aca="1" ref="C94" ca="1">INDEX(Products!$A$2:$A$9,RANDBETWEEN(1,8))</f>
        <v>Football</v>
      </c>
      <c r="D94" t="str">
        <f ca="1">_xlfn.XLOOKUP(C94,Products!A:A,Products!B:B)</f>
        <v>Equipment</v>
      </c>
      <c r="E94" t="str" cm="1">
        <f t="array" aca="1" ref="E94" ca="1">INDEX(Regions!$A$2:$A$7,RANDBETWEEN(1,6))</f>
        <v>Dublin</v>
      </c>
      <c r="F94">
        <f t="shared" ca="1" si="6"/>
        <v>5</v>
      </c>
      <c r="G94">
        <f ca="1">VLOOKUP(C94,Products!$A$2:$C$9,3,FALSE)</f>
        <v>30</v>
      </c>
      <c r="H94">
        <f t="shared" ca="1" si="7"/>
        <v>150</v>
      </c>
    </row>
    <row r="95" spans="1:8" x14ac:dyDescent="0.35">
      <c r="A95">
        <f t="shared" si="4"/>
        <v>1094</v>
      </c>
      <c r="B95" s="2">
        <f t="shared" ca="1" si="5"/>
        <v>45358</v>
      </c>
      <c r="C95" t="str" cm="1">
        <f t="array" aca="1" ref="C95" ca="1">INDEX(Products!$A$2:$A$9,RANDBETWEEN(1,8))</f>
        <v>Third Jersey</v>
      </c>
      <c r="D95" t="str">
        <f ca="1">_xlfn.XLOOKUP(C95,Products!A:A,Products!B:B)</f>
        <v>Jerseys</v>
      </c>
      <c r="E95" t="str" cm="1">
        <f t="array" aca="1" ref="E95" ca="1">INDEX(Regions!$A$2:$A$7,RANDBETWEEN(1,6))</f>
        <v>Galway</v>
      </c>
      <c r="F95">
        <f t="shared" ca="1" si="6"/>
        <v>1</v>
      </c>
      <c r="G95">
        <f ca="1">VLOOKUP(C95,Products!$A$2:$C$9,3,FALSE)</f>
        <v>85</v>
      </c>
      <c r="H95">
        <f t="shared" ca="1" si="7"/>
        <v>85</v>
      </c>
    </row>
    <row r="96" spans="1:8" x14ac:dyDescent="0.35">
      <c r="A96">
        <f t="shared" si="4"/>
        <v>1095</v>
      </c>
      <c r="B96" s="2">
        <f t="shared" ca="1" si="5"/>
        <v>45386</v>
      </c>
      <c r="C96" t="str" cm="1">
        <f t="array" aca="1" ref="C96" ca="1">INDEX(Products!$A$2:$A$9,RANDBETWEEN(1,8))</f>
        <v>Training Top</v>
      </c>
      <c r="D96" t="str">
        <f ca="1">_xlfn.XLOOKUP(C96,Products!A:A,Products!B:B)</f>
        <v>Training Wear</v>
      </c>
      <c r="E96" t="str" cm="1">
        <f t="array" aca="1" ref="E96" ca="1">INDEX(Regions!$A$2:$A$7,RANDBETWEEN(1,6))</f>
        <v>Cork</v>
      </c>
      <c r="F96">
        <f t="shared" ca="1" si="6"/>
        <v>4</v>
      </c>
      <c r="G96">
        <f ca="1">VLOOKUP(C96,Products!$A$2:$C$9,3,FALSE)</f>
        <v>55</v>
      </c>
      <c r="H96">
        <f t="shared" ca="1" si="7"/>
        <v>220</v>
      </c>
    </row>
    <row r="97" spans="1:8" x14ac:dyDescent="0.35">
      <c r="A97">
        <f t="shared" si="4"/>
        <v>1096</v>
      </c>
      <c r="B97" s="2">
        <f t="shared" ca="1" si="5"/>
        <v>46002</v>
      </c>
      <c r="C97" t="str" cm="1">
        <f t="array" aca="1" ref="C97" ca="1">INDEX(Products!$A$2:$A$9,RANDBETWEEN(1,8))</f>
        <v>Jacket</v>
      </c>
      <c r="D97" t="str">
        <f ca="1">_xlfn.XLOOKUP(C97,Products!A:A,Products!B:B)</f>
        <v>Training Wear</v>
      </c>
      <c r="E97" t="str" cm="1">
        <f t="array" aca="1" ref="E97" ca="1">INDEX(Regions!$A$2:$A$7,RANDBETWEEN(1,6))</f>
        <v>Limerick</v>
      </c>
      <c r="F97">
        <f t="shared" ca="1" si="6"/>
        <v>1</v>
      </c>
      <c r="G97">
        <f ca="1">VLOOKUP(C97,Products!$A$2:$C$9,3,FALSE)</f>
        <v>90</v>
      </c>
      <c r="H97">
        <f t="shared" ca="1" si="7"/>
        <v>90</v>
      </c>
    </row>
    <row r="98" spans="1:8" x14ac:dyDescent="0.35">
      <c r="A98">
        <f t="shared" si="4"/>
        <v>1097</v>
      </c>
      <c r="B98" s="2">
        <f t="shared" ca="1" si="5"/>
        <v>45908</v>
      </c>
      <c r="C98" t="str" cm="1">
        <f t="array" aca="1" ref="C98" ca="1">INDEX(Products!$A$2:$A$9,RANDBETWEEN(1,8))</f>
        <v>Jacket</v>
      </c>
      <c r="D98" t="str">
        <f ca="1">_xlfn.XLOOKUP(C98,Products!A:A,Products!B:B)</f>
        <v>Training Wear</v>
      </c>
      <c r="E98" t="str" cm="1">
        <f t="array" aca="1" ref="E98" ca="1">INDEX(Regions!$A$2:$A$7,RANDBETWEEN(1,6))</f>
        <v>Waterford</v>
      </c>
      <c r="F98">
        <f t="shared" ca="1" si="6"/>
        <v>1</v>
      </c>
      <c r="G98">
        <f ca="1">VLOOKUP(C98,Products!$A$2:$C$9,3,FALSE)</f>
        <v>90</v>
      </c>
      <c r="H98">
        <f t="shared" ca="1" si="7"/>
        <v>90</v>
      </c>
    </row>
    <row r="99" spans="1:8" x14ac:dyDescent="0.35">
      <c r="A99">
        <f t="shared" si="4"/>
        <v>1098</v>
      </c>
      <c r="B99" s="2">
        <f t="shared" ca="1" si="5"/>
        <v>45416</v>
      </c>
      <c r="C99" t="str" cm="1">
        <f t="array" aca="1" ref="C99" ca="1">INDEX(Products!$A$2:$A$9,RANDBETWEEN(1,8))</f>
        <v>Jacket</v>
      </c>
      <c r="D99" t="str">
        <f ca="1">_xlfn.XLOOKUP(C99,Products!A:A,Products!B:B)</f>
        <v>Training Wear</v>
      </c>
      <c r="E99" t="str" cm="1">
        <f t="array" aca="1" ref="E99" ca="1">INDEX(Regions!$A$2:$A$7,RANDBETWEEN(1,6))</f>
        <v>Waterford</v>
      </c>
      <c r="F99">
        <f t="shared" ca="1" si="6"/>
        <v>5</v>
      </c>
      <c r="G99">
        <f ca="1">VLOOKUP(C99,Products!$A$2:$C$9,3,FALSE)</f>
        <v>90</v>
      </c>
      <c r="H99">
        <f t="shared" ca="1" si="7"/>
        <v>450</v>
      </c>
    </row>
    <row r="100" spans="1:8" x14ac:dyDescent="0.35">
      <c r="A100">
        <f t="shared" si="4"/>
        <v>1099</v>
      </c>
      <c r="B100" s="2">
        <f t="shared" ca="1" si="5"/>
        <v>45453</v>
      </c>
      <c r="C100" t="str" cm="1">
        <f t="array" aca="1" ref="C100" ca="1">INDEX(Products!$A$2:$A$9,RANDBETWEEN(1,8))</f>
        <v>Training Top</v>
      </c>
      <c r="D100" t="str">
        <f ca="1">_xlfn.XLOOKUP(C100,Products!A:A,Products!B:B)</f>
        <v>Training Wear</v>
      </c>
      <c r="E100" t="str" cm="1">
        <f t="array" aca="1" ref="E100" ca="1">INDEX(Regions!$A$2:$A$7,RANDBETWEEN(1,6))</f>
        <v>Dublin</v>
      </c>
      <c r="F100">
        <f t="shared" ca="1" si="6"/>
        <v>3</v>
      </c>
      <c r="G100">
        <f ca="1">VLOOKUP(C100,Products!$A$2:$C$9,3,FALSE)</f>
        <v>55</v>
      </c>
      <c r="H100">
        <f t="shared" ca="1" si="7"/>
        <v>165</v>
      </c>
    </row>
    <row r="101" spans="1:8" x14ac:dyDescent="0.35">
      <c r="A101">
        <f t="shared" si="4"/>
        <v>1100</v>
      </c>
      <c r="B101" s="2">
        <f t="shared" ca="1" si="5"/>
        <v>45903</v>
      </c>
      <c r="C101" t="str" cm="1">
        <f t="array" aca="1" ref="C101" ca="1">INDEX(Products!$A$2:$A$9,RANDBETWEEN(1,8))</f>
        <v>Third Jersey</v>
      </c>
      <c r="D101" t="str">
        <f ca="1">_xlfn.XLOOKUP(C101,Products!A:A,Products!B:B)</f>
        <v>Jerseys</v>
      </c>
      <c r="E101" t="str" cm="1">
        <f t="array" aca="1" ref="E101" ca="1">INDEX(Regions!$A$2:$A$7,RANDBETWEEN(1,6))</f>
        <v>Galway</v>
      </c>
      <c r="F101">
        <f t="shared" ca="1" si="6"/>
        <v>1</v>
      </c>
      <c r="G101">
        <f ca="1">VLOOKUP(C101,Products!$A$2:$C$9,3,FALSE)</f>
        <v>85</v>
      </c>
      <c r="H101">
        <f t="shared" ca="1" si="7"/>
        <v>85</v>
      </c>
    </row>
    <row r="102" spans="1:8" x14ac:dyDescent="0.35">
      <c r="A102">
        <f t="shared" si="4"/>
        <v>1101</v>
      </c>
      <c r="B102" s="2">
        <f t="shared" ca="1" si="5"/>
        <v>45405</v>
      </c>
      <c r="C102" t="str" cm="1">
        <f t="array" aca="1" ref="C102" ca="1">INDEX(Products!$A$2:$A$9,RANDBETWEEN(1,8))</f>
        <v>Home Jersey</v>
      </c>
      <c r="D102" t="str">
        <f ca="1">_xlfn.XLOOKUP(C102,Products!A:A,Products!B:B)</f>
        <v>Jerseys</v>
      </c>
      <c r="E102" t="str" cm="1">
        <f t="array" aca="1" ref="E102" ca="1">INDEX(Regions!$A$2:$A$7,RANDBETWEEN(1,6))</f>
        <v>Galway</v>
      </c>
      <c r="F102">
        <f t="shared" ca="1" si="6"/>
        <v>1</v>
      </c>
      <c r="G102">
        <f ca="1">VLOOKUP(C102,Products!$A$2:$C$9,3,FALSE)</f>
        <v>80</v>
      </c>
      <c r="H102">
        <f t="shared" ca="1" si="7"/>
        <v>80</v>
      </c>
    </row>
    <row r="103" spans="1:8" x14ac:dyDescent="0.35">
      <c r="A103">
        <f t="shared" si="4"/>
        <v>1102</v>
      </c>
      <c r="B103" s="2">
        <f t="shared" ca="1" si="5"/>
        <v>45974</v>
      </c>
      <c r="C103" t="str" cm="1">
        <f t="array" aca="1" ref="C103" ca="1">INDEX(Products!$A$2:$A$9,RANDBETWEEN(1,8))</f>
        <v>Football</v>
      </c>
      <c r="D103" t="str">
        <f ca="1">_xlfn.XLOOKUP(C103,Products!A:A,Products!B:B)</f>
        <v>Equipment</v>
      </c>
      <c r="E103" t="str" cm="1">
        <f t="array" aca="1" ref="E103" ca="1">INDEX(Regions!$A$2:$A$7,RANDBETWEEN(1,6))</f>
        <v>Waterford</v>
      </c>
      <c r="F103">
        <f t="shared" ca="1" si="6"/>
        <v>1</v>
      </c>
      <c r="G103">
        <f ca="1">VLOOKUP(C103,Products!$A$2:$C$9,3,FALSE)</f>
        <v>30</v>
      </c>
      <c r="H103">
        <f t="shared" ca="1" si="7"/>
        <v>30</v>
      </c>
    </row>
    <row r="104" spans="1:8" x14ac:dyDescent="0.35">
      <c r="A104">
        <f t="shared" si="4"/>
        <v>1103</v>
      </c>
      <c r="B104" s="2">
        <f t="shared" ca="1" si="5"/>
        <v>45667</v>
      </c>
      <c r="C104" t="str" cm="1">
        <f t="array" aca="1" ref="C104" ca="1">INDEX(Products!$A$2:$A$9,RANDBETWEEN(1,8))</f>
        <v>Football</v>
      </c>
      <c r="D104" t="str">
        <f ca="1">_xlfn.XLOOKUP(C104,Products!A:A,Products!B:B)</f>
        <v>Equipment</v>
      </c>
      <c r="E104" t="str" cm="1">
        <f t="array" aca="1" ref="E104" ca="1">INDEX(Regions!$A$2:$A$7,RANDBETWEEN(1,6))</f>
        <v>Dublin</v>
      </c>
      <c r="F104">
        <f t="shared" ca="1" si="6"/>
        <v>1</v>
      </c>
      <c r="G104">
        <f ca="1">VLOOKUP(C104,Products!$A$2:$C$9,3,FALSE)</f>
        <v>30</v>
      </c>
      <c r="H104">
        <f t="shared" ca="1" si="7"/>
        <v>30</v>
      </c>
    </row>
    <row r="105" spans="1:8" x14ac:dyDescent="0.35">
      <c r="A105">
        <f t="shared" si="4"/>
        <v>1104</v>
      </c>
      <c r="B105" s="2">
        <f t="shared" ca="1" si="5"/>
        <v>45844</v>
      </c>
      <c r="C105" t="str" cm="1">
        <f t="array" aca="1" ref="C105" ca="1">INDEX(Products!$A$2:$A$9,RANDBETWEEN(1,8))</f>
        <v>Jacket</v>
      </c>
      <c r="D105" t="str">
        <f ca="1">_xlfn.XLOOKUP(C105,Products!A:A,Products!B:B)</f>
        <v>Training Wear</v>
      </c>
      <c r="E105" t="str" cm="1">
        <f t="array" aca="1" ref="E105" ca="1">INDEX(Regions!$A$2:$A$7,RANDBETWEEN(1,6))</f>
        <v>Waterford</v>
      </c>
      <c r="F105">
        <f t="shared" ca="1" si="6"/>
        <v>5</v>
      </c>
      <c r="G105">
        <f ca="1">VLOOKUP(C105,Products!$A$2:$C$9,3,FALSE)</f>
        <v>90</v>
      </c>
      <c r="H105">
        <f t="shared" ca="1" si="7"/>
        <v>450</v>
      </c>
    </row>
    <row r="106" spans="1:8" x14ac:dyDescent="0.35">
      <c r="A106">
        <f t="shared" si="4"/>
        <v>1105</v>
      </c>
      <c r="B106" s="2">
        <f t="shared" ca="1" si="5"/>
        <v>45335</v>
      </c>
      <c r="C106" t="str" cm="1">
        <f t="array" aca="1" ref="C106" ca="1">INDEX(Products!$A$2:$A$9,RANDBETWEEN(1,8))</f>
        <v>Football</v>
      </c>
      <c r="D106" t="str">
        <f ca="1">_xlfn.XLOOKUP(C106,Products!A:A,Products!B:B)</f>
        <v>Equipment</v>
      </c>
      <c r="E106" t="str" cm="1">
        <f t="array" aca="1" ref="E106" ca="1">INDEX(Regions!$A$2:$A$7,RANDBETWEEN(1,6))</f>
        <v>Cork</v>
      </c>
      <c r="F106">
        <f t="shared" ca="1" si="6"/>
        <v>1</v>
      </c>
      <c r="G106">
        <f ca="1">VLOOKUP(C106,Products!$A$2:$C$9,3,FALSE)</f>
        <v>30</v>
      </c>
      <c r="H106">
        <f t="shared" ca="1" si="7"/>
        <v>30</v>
      </c>
    </row>
    <row r="107" spans="1:8" x14ac:dyDescent="0.35">
      <c r="A107">
        <f t="shared" si="4"/>
        <v>1106</v>
      </c>
      <c r="B107" s="2">
        <f t="shared" ca="1" si="5"/>
        <v>45420</v>
      </c>
      <c r="C107" t="str" cm="1">
        <f t="array" aca="1" ref="C107" ca="1">INDEX(Products!$A$2:$A$9,RANDBETWEEN(1,8))</f>
        <v>Jacket</v>
      </c>
      <c r="D107" t="str">
        <f ca="1">_xlfn.XLOOKUP(C107,Products!A:A,Products!B:B)</f>
        <v>Training Wear</v>
      </c>
      <c r="E107" t="str" cm="1">
        <f t="array" aca="1" ref="E107" ca="1">INDEX(Regions!$A$2:$A$7,RANDBETWEEN(1,6))</f>
        <v>Belfast</v>
      </c>
      <c r="F107">
        <f t="shared" ca="1" si="6"/>
        <v>3</v>
      </c>
      <c r="G107">
        <f ca="1">VLOOKUP(C107,Products!$A$2:$C$9,3,FALSE)</f>
        <v>90</v>
      </c>
      <c r="H107">
        <f t="shared" ca="1" si="7"/>
        <v>270</v>
      </c>
    </row>
    <row r="108" spans="1:8" x14ac:dyDescent="0.35">
      <c r="A108">
        <f t="shared" si="4"/>
        <v>1107</v>
      </c>
      <c r="B108" s="2">
        <f t="shared" ca="1" si="5"/>
        <v>46004</v>
      </c>
      <c r="C108" t="str" cm="1">
        <f t="array" aca="1" ref="C108" ca="1">INDEX(Products!$A$2:$A$9,RANDBETWEEN(1,8))</f>
        <v>Hat</v>
      </c>
      <c r="D108" t="str">
        <f ca="1">_xlfn.XLOOKUP(C108,Products!A:A,Products!B:B)</f>
        <v>Accessories</v>
      </c>
      <c r="E108" t="str" cm="1">
        <f t="array" aca="1" ref="E108" ca="1">INDEX(Regions!$A$2:$A$7,RANDBETWEEN(1,6))</f>
        <v>Belfast</v>
      </c>
      <c r="F108">
        <f t="shared" ca="1" si="6"/>
        <v>1</v>
      </c>
      <c r="G108">
        <f ca="1">VLOOKUP(C108,Products!$A$2:$C$9,3,FALSE)</f>
        <v>25</v>
      </c>
      <c r="H108">
        <f t="shared" ca="1" si="7"/>
        <v>25</v>
      </c>
    </row>
    <row r="109" spans="1:8" x14ac:dyDescent="0.35">
      <c r="A109">
        <f t="shared" si="4"/>
        <v>1108</v>
      </c>
      <c r="B109" s="2">
        <f t="shared" ca="1" si="5"/>
        <v>45664</v>
      </c>
      <c r="C109" t="str" cm="1">
        <f t="array" aca="1" ref="C109" ca="1">INDEX(Products!$A$2:$A$9,RANDBETWEEN(1,8))</f>
        <v>Jacket</v>
      </c>
      <c r="D109" t="str">
        <f ca="1">_xlfn.XLOOKUP(C109,Products!A:A,Products!B:B)</f>
        <v>Training Wear</v>
      </c>
      <c r="E109" t="str" cm="1">
        <f t="array" aca="1" ref="E109" ca="1">INDEX(Regions!$A$2:$A$7,RANDBETWEEN(1,6))</f>
        <v>Cork</v>
      </c>
      <c r="F109">
        <f t="shared" ca="1" si="6"/>
        <v>2</v>
      </c>
      <c r="G109">
        <f ca="1">VLOOKUP(C109,Products!$A$2:$C$9,3,FALSE)</f>
        <v>90</v>
      </c>
      <c r="H109">
        <f t="shared" ca="1" si="7"/>
        <v>180</v>
      </c>
    </row>
    <row r="110" spans="1:8" x14ac:dyDescent="0.35">
      <c r="A110">
        <f t="shared" si="4"/>
        <v>1109</v>
      </c>
      <c r="B110" s="2">
        <f t="shared" ca="1" si="5"/>
        <v>45723</v>
      </c>
      <c r="C110" t="str" cm="1">
        <f t="array" aca="1" ref="C110" ca="1">INDEX(Products!$A$2:$A$9,RANDBETWEEN(1,8))</f>
        <v>Home Jersey</v>
      </c>
      <c r="D110" t="str">
        <f ca="1">_xlfn.XLOOKUP(C110,Products!A:A,Products!B:B)</f>
        <v>Jerseys</v>
      </c>
      <c r="E110" t="str" cm="1">
        <f t="array" aca="1" ref="E110" ca="1">INDEX(Regions!$A$2:$A$7,RANDBETWEEN(1,6))</f>
        <v>Galway</v>
      </c>
      <c r="F110">
        <f t="shared" ca="1" si="6"/>
        <v>5</v>
      </c>
      <c r="G110">
        <f ca="1">VLOOKUP(C110,Products!$A$2:$C$9,3,FALSE)</f>
        <v>80</v>
      </c>
      <c r="H110">
        <f t="shared" ca="1" si="7"/>
        <v>400</v>
      </c>
    </row>
    <row r="111" spans="1:8" x14ac:dyDescent="0.35">
      <c r="A111">
        <f t="shared" si="4"/>
        <v>1110</v>
      </c>
      <c r="B111" s="2">
        <f t="shared" ca="1" si="5"/>
        <v>45621</v>
      </c>
      <c r="C111" t="str" cm="1">
        <f t="array" aca="1" ref="C111" ca="1">INDEX(Products!$A$2:$A$9,RANDBETWEEN(1,8))</f>
        <v>Away Jersey</v>
      </c>
      <c r="D111" t="str">
        <f ca="1">_xlfn.XLOOKUP(C111,Products!A:A,Products!B:B)</f>
        <v>Jerseys</v>
      </c>
      <c r="E111" t="str" cm="1">
        <f t="array" aca="1" ref="E111" ca="1">INDEX(Regions!$A$2:$A$7,RANDBETWEEN(1,6))</f>
        <v>Limerick</v>
      </c>
      <c r="F111">
        <f t="shared" ca="1" si="6"/>
        <v>2</v>
      </c>
      <c r="G111">
        <f ca="1">VLOOKUP(C111,Products!$A$2:$C$9,3,FALSE)</f>
        <v>80</v>
      </c>
      <c r="H111">
        <f t="shared" ca="1" si="7"/>
        <v>160</v>
      </c>
    </row>
    <row r="112" spans="1:8" x14ac:dyDescent="0.35">
      <c r="A112">
        <f t="shared" si="4"/>
        <v>1111</v>
      </c>
      <c r="B112" s="2">
        <f t="shared" ca="1" si="5"/>
        <v>45773</v>
      </c>
      <c r="C112" t="str" cm="1">
        <f t="array" aca="1" ref="C112" ca="1">INDEX(Products!$A$2:$A$9,RANDBETWEEN(1,8))</f>
        <v>Third Jersey</v>
      </c>
      <c r="D112" t="str">
        <f ca="1">_xlfn.XLOOKUP(C112,Products!A:A,Products!B:B)</f>
        <v>Jerseys</v>
      </c>
      <c r="E112" t="str" cm="1">
        <f t="array" aca="1" ref="E112" ca="1">INDEX(Regions!$A$2:$A$7,RANDBETWEEN(1,6))</f>
        <v>Galway</v>
      </c>
      <c r="F112">
        <f t="shared" ca="1" si="6"/>
        <v>1</v>
      </c>
      <c r="G112">
        <f ca="1">VLOOKUP(C112,Products!$A$2:$C$9,3,FALSE)</f>
        <v>85</v>
      </c>
      <c r="H112">
        <f t="shared" ca="1" si="7"/>
        <v>85</v>
      </c>
    </row>
    <row r="113" spans="1:8" x14ac:dyDescent="0.35">
      <c r="A113">
        <f t="shared" si="4"/>
        <v>1112</v>
      </c>
      <c r="B113" s="2">
        <f t="shared" ca="1" si="5"/>
        <v>45491</v>
      </c>
      <c r="C113" t="str" cm="1">
        <f t="array" aca="1" ref="C113" ca="1">INDEX(Products!$A$2:$A$9,RANDBETWEEN(1,8))</f>
        <v>Football</v>
      </c>
      <c r="D113" t="str">
        <f ca="1">_xlfn.XLOOKUP(C113,Products!A:A,Products!B:B)</f>
        <v>Equipment</v>
      </c>
      <c r="E113" t="str" cm="1">
        <f t="array" aca="1" ref="E113" ca="1">INDEX(Regions!$A$2:$A$7,RANDBETWEEN(1,6))</f>
        <v>Belfast</v>
      </c>
      <c r="F113">
        <f t="shared" ca="1" si="6"/>
        <v>1</v>
      </c>
      <c r="G113">
        <f ca="1">VLOOKUP(C113,Products!$A$2:$C$9,3,FALSE)</f>
        <v>30</v>
      </c>
      <c r="H113">
        <f t="shared" ca="1" si="7"/>
        <v>30</v>
      </c>
    </row>
    <row r="114" spans="1:8" x14ac:dyDescent="0.35">
      <c r="A114">
        <f t="shared" si="4"/>
        <v>1113</v>
      </c>
      <c r="B114" s="2">
        <f t="shared" ca="1" si="5"/>
        <v>45436</v>
      </c>
      <c r="C114" t="str" cm="1">
        <f t="array" aca="1" ref="C114" ca="1">INDEX(Products!$A$2:$A$9,RANDBETWEEN(1,8))</f>
        <v>Third Jersey</v>
      </c>
      <c r="D114" t="str">
        <f ca="1">_xlfn.XLOOKUP(C114,Products!A:A,Products!B:B)</f>
        <v>Jerseys</v>
      </c>
      <c r="E114" t="str" cm="1">
        <f t="array" aca="1" ref="E114" ca="1">INDEX(Regions!$A$2:$A$7,RANDBETWEEN(1,6))</f>
        <v>Waterford</v>
      </c>
      <c r="F114">
        <f t="shared" ca="1" si="6"/>
        <v>1</v>
      </c>
      <c r="G114">
        <f ca="1">VLOOKUP(C114,Products!$A$2:$C$9,3,FALSE)</f>
        <v>85</v>
      </c>
      <c r="H114">
        <f t="shared" ca="1" si="7"/>
        <v>85</v>
      </c>
    </row>
    <row r="115" spans="1:8" x14ac:dyDescent="0.35">
      <c r="A115">
        <f t="shared" si="4"/>
        <v>1114</v>
      </c>
      <c r="B115" s="2">
        <f t="shared" ca="1" si="5"/>
        <v>45806</v>
      </c>
      <c r="C115" t="str" cm="1">
        <f t="array" aca="1" ref="C115" ca="1">INDEX(Products!$A$2:$A$9,RANDBETWEEN(1,8))</f>
        <v>Home Jersey</v>
      </c>
      <c r="D115" t="str">
        <f ca="1">_xlfn.XLOOKUP(C115,Products!A:A,Products!B:B)</f>
        <v>Jerseys</v>
      </c>
      <c r="E115" t="str" cm="1">
        <f t="array" aca="1" ref="E115" ca="1">INDEX(Regions!$A$2:$A$7,RANDBETWEEN(1,6))</f>
        <v>Belfast</v>
      </c>
      <c r="F115">
        <f t="shared" ca="1" si="6"/>
        <v>3</v>
      </c>
      <c r="G115">
        <f ca="1">VLOOKUP(C115,Products!$A$2:$C$9,3,FALSE)</f>
        <v>80</v>
      </c>
      <c r="H115">
        <f t="shared" ca="1" si="7"/>
        <v>240</v>
      </c>
    </row>
    <row r="116" spans="1:8" x14ac:dyDescent="0.35">
      <c r="A116">
        <f t="shared" si="4"/>
        <v>1115</v>
      </c>
      <c r="B116" s="2">
        <f t="shared" ca="1" si="5"/>
        <v>45372</v>
      </c>
      <c r="C116" t="str" cm="1">
        <f t="array" aca="1" ref="C116" ca="1">INDEX(Products!$A$2:$A$9,RANDBETWEEN(1,8))</f>
        <v>Hat</v>
      </c>
      <c r="D116" t="str">
        <f ca="1">_xlfn.XLOOKUP(C116,Products!A:A,Products!B:B)</f>
        <v>Accessories</v>
      </c>
      <c r="E116" t="str" cm="1">
        <f t="array" aca="1" ref="E116" ca="1">INDEX(Regions!$A$2:$A$7,RANDBETWEEN(1,6))</f>
        <v>Waterford</v>
      </c>
      <c r="F116">
        <f t="shared" ca="1" si="6"/>
        <v>2</v>
      </c>
      <c r="G116">
        <f ca="1">VLOOKUP(C116,Products!$A$2:$C$9,3,FALSE)</f>
        <v>25</v>
      </c>
      <c r="H116">
        <f t="shared" ca="1" si="7"/>
        <v>50</v>
      </c>
    </row>
    <row r="117" spans="1:8" x14ac:dyDescent="0.35">
      <c r="A117">
        <f t="shared" si="4"/>
        <v>1116</v>
      </c>
      <c r="B117" s="2">
        <f t="shared" ca="1" si="5"/>
        <v>45678</v>
      </c>
      <c r="C117" t="str" cm="1">
        <f t="array" aca="1" ref="C117" ca="1">INDEX(Products!$A$2:$A$9,RANDBETWEEN(1,8))</f>
        <v>Jacket</v>
      </c>
      <c r="D117" t="str">
        <f ca="1">_xlfn.XLOOKUP(C117,Products!A:A,Products!B:B)</f>
        <v>Training Wear</v>
      </c>
      <c r="E117" t="str" cm="1">
        <f t="array" aca="1" ref="E117" ca="1">INDEX(Regions!$A$2:$A$7,RANDBETWEEN(1,6))</f>
        <v>Dublin</v>
      </c>
      <c r="F117">
        <f t="shared" ca="1" si="6"/>
        <v>4</v>
      </c>
      <c r="G117">
        <f ca="1">VLOOKUP(C117,Products!$A$2:$C$9,3,FALSE)</f>
        <v>90</v>
      </c>
      <c r="H117">
        <f t="shared" ca="1" si="7"/>
        <v>360</v>
      </c>
    </row>
    <row r="118" spans="1:8" x14ac:dyDescent="0.35">
      <c r="A118">
        <f t="shared" si="4"/>
        <v>1117</v>
      </c>
      <c r="B118" s="2">
        <f t="shared" ca="1" si="5"/>
        <v>45752</v>
      </c>
      <c r="C118" t="str" cm="1">
        <f t="array" aca="1" ref="C118" ca="1">INDEX(Products!$A$2:$A$9,RANDBETWEEN(1,8))</f>
        <v>Scarf</v>
      </c>
      <c r="D118" t="str">
        <f ca="1">_xlfn.XLOOKUP(C118,Products!A:A,Products!B:B)</f>
        <v>Accessories</v>
      </c>
      <c r="E118" t="str" cm="1">
        <f t="array" aca="1" ref="E118" ca="1">INDEX(Regions!$A$2:$A$7,RANDBETWEEN(1,6))</f>
        <v>Belfast</v>
      </c>
      <c r="F118">
        <f t="shared" ca="1" si="6"/>
        <v>4</v>
      </c>
      <c r="G118">
        <f ca="1">VLOOKUP(C118,Products!$A$2:$C$9,3,FALSE)</f>
        <v>20</v>
      </c>
      <c r="H118">
        <f t="shared" ca="1" si="7"/>
        <v>80</v>
      </c>
    </row>
    <row r="119" spans="1:8" x14ac:dyDescent="0.35">
      <c r="A119">
        <f t="shared" si="4"/>
        <v>1118</v>
      </c>
      <c r="B119" s="2">
        <f t="shared" ca="1" si="5"/>
        <v>46005</v>
      </c>
      <c r="C119" t="str" cm="1">
        <f t="array" aca="1" ref="C119" ca="1">INDEX(Products!$A$2:$A$9,RANDBETWEEN(1,8))</f>
        <v>Home Jersey</v>
      </c>
      <c r="D119" t="str">
        <f ca="1">_xlfn.XLOOKUP(C119,Products!A:A,Products!B:B)</f>
        <v>Jerseys</v>
      </c>
      <c r="E119" t="str" cm="1">
        <f t="array" aca="1" ref="E119" ca="1">INDEX(Regions!$A$2:$A$7,RANDBETWEEN(1,6))</f>
        <v>Belfast</v>
      </c>
      <c r="F119">
        <f t="shared" ca="1" si="6"/>
        <v>5</v>
      </c>
      <c r="G119">
        <f ca="1">VLOOKUP(C119,Products!$A$2:$C$9,3,FALSE)</f>
        <v>80</v>
      </c>
      <c r="H119">
        <f t="shared" ca="1" si="7"/>
        <v>400</v>
      </c>
    </row>
    <row r="120" spans="1:8" x14ac:dyDescent="0.35">
      <c r="A120">
        <f t="shared" si="4"/>
        <v>1119</v>
      </c>
      <c r="B120" s="2">
        <f t="shared" ca="1" si="5"/>
        <v>45936</v>
      </c>
      <c r="C120" t="str" cm="1">
        <f t="array" aca="1" ref="C120" ca="1">INDEX(Products!$A$2:$A$9,RANDBETWEEN(1,8))</f>
        <v>Football</v>
      </c>
      <c r="D120" t="str">
        <f ca="1">_xlfn.XLOOKUP(C120,Products!A:A,Products!B:B)</f>
        <v>Equipment</v>
      </c>
      <c r="E120" t="str" cm="1">
        <f t="array" aca="1" ref="E120" ca="1">INDEX(Regions!$A$2:$A$7,RANDBETWEEN(1,6))</f>
        <v>Belfast</v>
      </c>
      <c r="F120">
        <f t="shared" ca="1" si="6"/>
        <v>5</v>
      </c>
      <c r="G120">
        <f ca="1">VLOOKUP(C120,Products!$A$2:$C$9,3,FALSE)</f>
        <v>30</v>
      </c>
      <c r="H120">
        <f t="shared" ca="1" si="7"/>
        <v>150</v>
      </c>
    </row>
    <row r="121" spans="1:8" x14ac:dyDescent="0.35">
      <c r="A121">
        <f t="shared" si="4"/>
        <v>1120</v>
      </c>
      <c r="B121" s="2">
        <f t="shared" ca="1" si="5"/>
        <v>45701</v>
      </c>
      <c r="C121" t="str" cm="1">
        <f t="array" aca="1" ref="C121" ca="1">INDEX(Products!$A$2:$A$9,RANDBETWEEN(1,8))</f>
        <v>Jacket</v>
      </c>
      <c r="D121" t="str">
        <f ca="1">_xlfn.XLOOKUP(C121,Products!A:A,Products!B:B)</f>
        <v>Training Wear</v>
      </c>
      <c r="E121" t="str" cm="1">
        <f t="array" aca="1" ref="E121" ca="1">INDEX(Regions!$A$2:$A$7,RANDBETWEEN(1,6))</f>
        <v>Limerick</v>
      </c>
      <c r="F121">
        <f t="shared" ca="1" si="6"/>
        <v>4</v>
      </c>
      <c r="G121">
        <f ca="1">VLOOKUP(C121,Products!$A$2:$C$9,3,FALSE)</f>
        <v>90</v>
      </c>
      <c r="H121">
        <f t="shared" ca="1" si="7"/>
        <v>360</v>
      </c>
    </row>
    <row r="122" spans="1:8" x14ac:dyDescent="0.35">
      <c r="A122">
        <f t="shared" si="4"/>
        <v>1121</v>
      </c>
      <c r="B122" s="2">
        <f t="shared" ca="1" si="5"/>
        <v>45413</v>
      </c>
      <c r="C122" t="str" cm="1">
        <f t="array" aca="1" ref="C122" ca="1">INDEX(Products!$A$2:$A$9,RANDBETWEEN(1,8))</f>
        <v>Third Jersey</v>
      </c>
      <c r="D122" t="str">
        <f ca="1">_xlfn.XLOOKUP(C122,Products!A:A,Products!B:B)</f>
        <v>Jerseys</v>
      </c>
      <c r="E122" t="str" cm="1">
        <f t="array" aca="1" ref="E122" ca="1">INDEX(Regions!$A$2:$A$7,RANDBETWEEN(1,6))</f>
        <v>Galway</v>
      </c>
      <c r="F122">
        <f t="shared" ca="1" si="6"/>
        <v>4</v>
      </c>
      <c r="G122">
        <f ca="1">VLOOKUP(C122,Products!$A$2:$C$9,3,FALSE)</f>
        <v>85</v>
      </c>
      <c r="H122">
        <f t="shared" ca="1" si="7"/>
        <v>340</v>
      </c>
    </row>
    <row r="123" spans="1:8" x14ac:dyDescent="0.35">
      <c r="A123">
        <f t="shared" si="4"/>
        <v>1122</v>
      </c>
      <c r="B123" s="2">
        <f t="shared" ca="1" si="5"/>
        <v>45629</v>
      </c>
      <c r="C123" t="str" cm="1">
        <f t="array" aca="1" ref="C123" ca="1">INDEX(Products!$A$2:$A$9,RANDBETWEEN(1,8))</f>
        <v>Away Jersey</v>
      </c>
      <c r="D123" t="str">
        <f ca="1">_xlfn.XLOOKUP(C123,Products!A:A,Products!B:B)</f>
        <v>Jerseys</v>
      </c>
      <c r="E123" t="str" cm="1">
        <f t="array" aca="1" ref="E123" ca="1">INDEX(Regions!$A$2:$A$7,RANDBETWEEN(1,6))</f>
        <v>Waterford</v>
      </c>
      <c r="F123">
        <f t="shared" ca="1" si="6"/>
        <v>3</v>
      </c>
      <c r="G123">
        <f ca="1">VLOOKUP(C123,Products!$A$2:$C$9,3,FALSE)</f>
        <v>80</v>
      </c>
      <c r="H123">
        <f t="shared" ca="1" si="7"/>
        <v>240</v>
      </c>
    </row>
    <row r="124" spans="1:8" x14ac:dyDescent="0.35">
      <c r="A124">
        <f t="shared" si="4"/>
        <v>1123</v>
      </c>
      <c r="B124" s="2">
        <f t="shared" ca="1" si="5"/>
        <v>45770</v>
      </c>
      <c r="C124" t="str" cm="1">
        <f t="array" aca="1" ref="C124" ca="1">INDEX(Products!$A$2:$A$9,RANDBETWEEN(1,8))</f>
        <v>Football</v>
      </c>
      <c r="D124" t="str">
        <f ca="1">_xlfn.XLOOKUP(C124,Products!A:A,Products!B:B)</f>
        <v>Equipment</v>
      </c>
      <c r="E124" t="str" cm="1">
        <f t="array" aca="1" ref="E124" ca="1">INDEX(Regions!$A$2:$A$7,RANDBETWEEN(1,6))</f>
        <v>Galway</v>
      </c>
      <c r="F124">
        <f t="shared" ca="1" si="6"/>
        <v>4</v>
      </c>
      <c r="G124">
        <f ca="1">VLOOKUP(C124,Products!$A$2:$C$9,3,FALSE)</f>
        <v>30</v>
      </c>
      <c r="H124">
        <f t="shared" ca="1" si="7"/>
        <v>120</v>
      </c>
    </row>
    <row r="125" spans="1:8" x14ac:dyDescent="0.35">
      <c r="A125">
        <f t="shared" si="4"/>
        <v>1124</v>
      </c>
      <c r="B125" s="2">
        <f t="shared" ca="1" si="5"/>
        <v>45769</v>
      </c>
      <c r="C125" t="str" cm="1">
        <f t="array" aca="1" ref="C125" ca="1">INDEX(Products!$A$2:$A$9,RANDBETWEEN(1,8))</f>
        <v>Away Jersey</v>
      </c>
      <c r="D125" t="str">
        <f ca="1">_xlfn.XLOOKUP(C125,Products!A:A,Products!B:B)</f>
        <v>Jerseys</v>
      </c>
      <c r="E125" t="str" cm="1">
        <f t="array" aca="1" ref="E125" ca="1">INDEX(Regions!$A$2:$A$7,RANDBETWEEN(1,6))</f>
        <v>Belfast</v>
      </c>
      <c r="F125">
        <f t="shared" ca="1" si="6"/>
        <v>4</v>
      </c>
      <c r="G125">
        <f ca="1">VLOOKUP(C125,Products!$A$2:$C$9,3,FALSE)</f>
        <v>80</v>
      </c>
      <c r="H125">
        <f t="shared" ca="1" si="7"/>
        <v>320</v>
      </c>
    </row>
    <row r="126" spans="1:8" x14ac:dyDescent="0.35">
      <c r="A126">
        <f t="shared" si="4"/>
        <v>1125</v>
      </c>
      <c r="B126" s="2">
        <f t="shared" ca="1" si="5"/>
        <v>45296</v>
      </c>
      <c r="C126" t="str" cm="1">
        <f t="array" aca="1" ref="C126" ca="1">INDEX(Products!$A$2:$A$9,RANDBETWEEN(1,8))</f>
        <v>Home Jersey</v>
      </c>
      <c r="D126" t="str">
        <f ca="1">_xlfn.XLOOKUP(C126,Products!A:A,Products!B:B)</f>
        <v>Jerseys</v>
      </c>
      <c r="E126" t="str" cm="1">
        <f t="array" aca="1" ref="E126" ca="1">INDEX(Regions!$A$2:$A$7,RANDBETWEEN(1,6))</f>
        <v>Dublin</v>
      </c>
      <c r="F126">
        <f t="shared" ca="1" si="6"/>
        <v>4</v>
      </c>
      <c r="G126">
        <f ca="1">VLOOKUP(C126,Products!$A$2:$C$9,3,FALSE)</f>
        <v>80</v>
      </c>
      <c r="H126">
        <f t="shared" ca="1" si="7"/>
        <v>320</v>
      </c>
    </row>
    <row r="127" spans="1:8" x14ac:dyDescent="0.35">
      <c r="A127">
        <f t="shared" si="4"/>
        <v>1126</v>
      </c>
      <c r="B127" s="2">
        <f t="shared" ca="1" si="5"/>
        <v>46017</v>
      </c>
      <c r="C127" t="str" cm="1">
        <f t="array" aca="1" ref="C127" ca="1">INDEX(Products!$A$2:$A$9,RANDBETWEEN(1,8))</f>
        <v>Scarf</v>
      </c>
      <c r="D127" t="str">
        <f ca="1">_xlfn.XLOOKUP(C127,Products!A:A,Products!B:B)</f>
        <v>Accessories</v>
      </c>
      <c r="E127" t="str" cm="1">
        <f t="array" aca="1" ref="E127" ca="1">INDEX(Regions!$A$2:$A$7,RANDBETWEEN(1,6))</f>
        <v>Cork</v>
      </c>
      <c r="F127">
        <f t="shared" ca="1" si="6"/>
        <v>2</v>
      </c>
      <c r="G127">
        <f ca="1">VLOOKUP(C127,Products!$A$2:$C$9,3,FALSE)</f>
        <v>20</v>
      </c>
      <c r="H127">
        <f t="shared" ca="1" si="7"/>
        <v>40</v>
      </c>
    </row>
    <row r="128" spans="1:8" x14ac:dyDescent="0.35">
      <c r="A128">
        <f t="shared" si="4"/>
        <v>1127</v>
      </c>
      <c r="B128" s="2">
        <f t="shared" ca="1" si="5"/>
        <v>45556</v>
      </c>
      <c r="C128" t="str" cm="1">
        <f t="array" aca="1" ref="C128" ca="1">INDEX(Products!$A$2:$A$9,RANDBETWEEN(1,8))</f>
        <v>Home Jersey</v>
      </c>
      <c r="D128" t="str">
        <f ca="1">_xlfn.XLOOKUP(C128,Products!A:A,Products!B:B)</f>
        <v>Jerseys</v>
      </c>
      <c r="E128" t="str" cm="1">
        <f t="array" aca="1" ref="E128" ca="1">INDEX(Regions!$A$2:$A$7,RANDBETWEEN(1,6))</f>
        <v>Cork</v>
      </c>
      <c r="F128">
        <f t="shared" ca="1" si="6"/>
        <v>5</v>
      </c>
      <c r="G128">
        <f ca="1">VLOOKUP(C128,Products!$A$2:$C$9,3,FALSE)</f>
        <v>80</v>
      </c>
      <c r="H128">
        <f t="shared" ca="1" si="7"/>
        <v>400</v>
      </c>
    </row>
    <row r="129" spans="1:8" x14ac:dyDescent="0.35">
      <c r="A129">
        <f t="shared" si="4"/>
        <v>1128</v>
      </c>
      <c r="B129" s="2">
        <f t="shared" ca="1" si="5"/>
        <v>45712</v>
      </c>
      <c r="C129" t="str" cm="1">
        <f t="array" aca="1" ref="C129" ca="1">INDEX(Products!$A$2:$A$9,RANDBETWEEN(1,8))</f>
        <v>Hat</v>
      </c>
      <c r="D129" t="str">
        <f ca="1">_xlfn.XLOOKUP(C129,Products!A:A,Products!B:B)</f>
        <v>Accessories</v>
      </c>
      <c r="E129" t="str" cm="1">
        <f t="array" aca="1" ref="E129" ca="1">INDEX(Regions!$A$2:$A$7,RANDBETWEEN(1,6))</f>
        <v>Cork</v>
      </c>
      <c r="F129">
        <f t="shared" ca="1" si="6"/>
        <v>3</v>
      </c>
      <c r="G129">
        <f ca="1">VLOOKUP(C129,Products!$A$2:$C$9,3,FALSE)</f>
        <v>25</v>
      </c>
      <c r="H129">
        <f t="shared" ca="1" si="7"/>
        <v>75</v>
      </c>
    </row>
    <row r="130" spans="1:8" x14ac:dyDescent="0.35">
      <c r="A130">
        <f t="shared" si="4"/>
        <v>1129</v>
      </c>
      <c r="B130" s="2">
        <f t="shared" ca="1" si="5"/>
        <v>45579</v>
      </c>
      <c r="C130" t="str" cm="1">
        <f t="array" aca="1" ref="C130" ca="1">INDEX(Products!$A$2:$A$9,RANDBETWEEN(1,8))</f>
        <v>Hat</v>
      </c>
      <c r="D130" t="str">
        <f ca="1">_xlfn.XLOOKUP(C130,Products!A:A,Products!B:B)</f>
        <v>Accessories</v>
      </c>
      <c r="E130" t="str" cm="1">
        <f t="array" aca="1" ref="E130" ca="1">INDEX(Regions!$A$2:$A$7,RANDBETWEEN(1,6))</f>
        <v>Galway</v>
      </c>
      <c r="F130">
        <f t="shared" ca="1" si="6"/>
        <v>3</v>
      </c>
      <c r="G130">
        <f ca="1">VLOOKUP(C130,Products!$A$2:$C$9,3,FALSE)</f>
        <v>25</v>
      </c>
      <c r="H130">
        <f t="shared" ca="1" si="7"/>
        <v>75</v>
      </c>
    </row>
    <row r="131" spans="1:8" x14ac:dyDescent="0.35">
      <c r="A131">
        <f t="shared" ref="A131:A194" si="8">ROW()+999</f>
        <v>1130</v>
      </c>
      <c r="B131" s="2">
        <f t="shared" ref="B131:B194" ca="1" si="9">DATE(2024,1,1)+RANDBETWEEN(0,730)</f>
        <v>45357</v>
      </c>
      <c r="C131" t="str" cm="1">
        <f t="array" aca="1" ref="C131" ca="1">INDEX(Products!$A$2:$A$9,RANDBETWEEN(1,8))</f>
        <v>Jacket</v>
      </c>
      <c r="D131" t="str">
        <f ca="1">_xlfn.XLOOKUP(C131,Products!A:A,Products!B:B)</f>
        <v>Training Wear</v>
      </c>
      <c r="E131" t="str" cm="1">
        <f t="array" aca="1" ref="E131" ca="1">INDEX(Regions!$A$2:$A$7,RANDBETWEEN(1,6))</f>
        <v>Galway</v>
      </c>
      <c r="F131">
        <f t="shared" ref="F131:F194" ca="1" si="10">RANDBETWEEN(1,5)</f>
        <v>1</v>
      </c>
      <c r="G131">
        <f ca="1">VLOOKUP(C131,Products!$A$2:$C$9,3,FALSE)</f>
        <v>90</v>
      </c>
      <c r="H131">
        <f t="shared" ref="H131:H194" ca="1" si="11">F131*G131</f>
        <v>90</v>
      </c>
    </row>
    <row r="132" spans="1:8" x14ac:dyDescent="0.35">
      <c r="A132">
        <f t="shared" si="8"/>
        <v>1131</v>
      </c>
      <c r="B132" s="2">
        <f t="shared" ca="1" si="9"/>
        <v>45436</v>
      </c>
      <c r="C132" t="str" cm="1">
        <f t="array" aca="1" ref="C132" ca="1">INDEX(Products!$A$2:$A$9,RANDBETWEEN(1,8))</f>
        <v>Jacket</v>
      </c>
      <c r="D132" t="str">
        <f ca="1">_xlfn.XLOOKUP(C132,Products!A:A,Products!B:B)</f>
        <v>Training Wear</v>
      </c>
      <c r="E132" t="str" cm="1">
        <f t="array" aca="1" ref="E132" ca="1">INDEX(Regions!$A$2:$A$7,RANDBETWEEN(1,6))</f>
        <v>Limerick</v>
      </c>
      <c r="F132">
        <f t="shared" ca="1" si="10"/>
        <v>2</v>
      </c>
      <c r="G132">
        <f ca="1">VLOOKUP(C132,Products!$A$2:$C$9,3,FALSE)</f>
        <v>90</v>
      </c>
      <c r="H132">
        <f t="shared" ca="1" si="11"/>
        <v>180</v>
      </c>
    </row>
    <row r="133" spans="1:8" x14ac:dyDescent="0.35">
      <c r="A133">
        <f t="shared" si="8"/>
        <v>1132</v>
      </c>
      <c r="B133" s="2">
        <f t="shared" ca="1" si="9"/>
        <v>45490</v>
      </c>
      <c r="C133" t="str" cm="1">
        <f t="array" aca="1" ref="C133" ca="1">INDEX(Products!$A$2:$A$9,RANDBETWEEN(1,8))</f>
        <v>Scarf</v>
      </c>
      <c r="D133" t="str">
        <f ca="1">_xlfn.XLOOKUP(C133,Products!A:A,Products!B:B)</f>
        <v>Accessories</v>
      </c>
      <c r="E133" t="str" cm="1">
        <f t="array" aca="1" ref="E133" ca="1">INDEX(Regions!$A$2:$A$7,RANDBETWEEN(1,6))</f>
        <v>Limerick</v>
      </c>
      <c r="F133">
        <f t="shared" ca="1" si="10"/>
        <v>1</v>
      </c>
      <c r="G133">
        <f ca="1">VLOOKUP(C133,Products!$A$2:$C$9,3,FALSE)</f>
        <v>20</v>
      </c>
      <c r="H133">
        <f t="shared" ca="1" si="11"/>
        <v>20</v>
      </c>
    </row>
    <row r="134" spans="1:8" x14ac:dyDescent="0.35">
      <c r="A134">
        <f t="shared" si="8"/>
        <v>1133</v>
      </c>
      <c r="B134" s="2">
        <f t="shared" ca="1" si="9"/>
        <v>45851</v>
      </c>
      <c r="C134" t="str" cm="1">
        <f t="array" aca="1" ref="C134" ca="1">INDEX(Products!$A$2:$A$9,RANDBETWEEN(1,8))</f>
        <v>Home Jersey</v>
      </c>
      <c r="D134" t="str">
        <f ca="1">_xlfn.XLOOKUP(C134,Products!A:A,Products!B:B)</f>
        <v>Jerseys</v>
      </c>
      <c r="E134" t="str" cm="1">
        <f t="array" aca="1" ref="E134" ca="1">INDEX(Regions!$A$2:$A$7,RANDBETWEEN(1,6))</f>
        <v>Cork</v>
      </c>
      <c r="F134">
        <f t="shared" ca="1" si="10"/>
        <v>3</v>
      </c>
      <c r="G134">
        <f ca="1">VLOOKUP(C134,Products!$A$2:$C$9,3,FALSE)</f>
        <v>80</v>
      </c>
      <c r="H134">
        <f t="shared" ca="1" si="11"/>
        <v>240</v>
      </c>
    </row>
    <row r="135" spans="1:8" x14ac:dyDescent="0.35">
      <c r="A135">
        <f t="shared" si="8"/>
        <v>1134</v>
      </c>
      <c r="B135" s="2">
        <f t="shared" ca="1" si="9"/>
        <v>45785</v>
      </c>
      <c r="C135" t="str" cm="1">
        <f t="array" aca="1" ref="C135" ca="1">INDEX(Products!$A$2:$A$9,RANDBETWEEN(1,8))</f>
        <v>Third Jersey</v>
      </c>
      <c r="D135" t="str">
        <f ca="1">_xlfn.XLOOKUP(C135,Products!A:A,Products!B:B)</f>
        <v>Jerseys</v>
      </c>
      <c r="E135" t="str" cm="1">
        <f t="array" aca="1" ref="E135" ca="1">INDEX(Regions!$A$2:$A$7,RANDBETWEEN(1,6))</f>
        <v>Belfast</v>
      </c>
      <c r="F135">
        <f t="shared" ca="1" si="10"/>
        <v>1</v>
      </c>
      <c r="G135">
        <f ca="1">VLOOKUP(C135,Products!$A$2:$C$9,3,FALSE)</f>
        <v>85</v>
      </c>
      <c r="H135">
        <f t="shared" ca="1" si="11"/>
        <v>85</v>
      </c>
    </row>
    <row r="136" spans="1:8" x14ac:dyDescent="0.35">
      <c r="A136">
        <f t="shared" si="8"/>
        <v>1135</v>
      </c>
      <c r="B136" s="2">
        <f t="shared" ca="1" si="9"/>
        <v>45891</v>
      </c>
      <c r="C136" t="str" cm="1">
        <f t="array" aca="1" ref="C136" ca="1">INDEX(Products!$A$2:$A$9,RANDBETWEEN(1,8))</f>
        <v>Away Jersey</v>
      </c>
      <c r="D136" t="str">
        <f ca="1">_xlfn.XLOOKUP(C136,Products!A:A,Products!B:B)</f>
        <v>Jerseys</v>
      </c>
      <c r="E136" t="str" cm="1">
        <f t="array" aca="1" ref="E136" ca="1">INDEX(Regions!$A$2:$A$7,RANDBETWEEN(1,6))</f>
        <v>Dublin</v>
      </c>
      <c r="F136">
        <f t="shared" ca="1" si="10"/>
        <v>1</v>
      </c>
      <c r="G136">
        <f ca="1">VLOOKUP(C136,Products!$A$2:$C$9,3,FALSE)</f>
        <v>80</v>
      </c>
      <c r="H136">
        <f t="shared" ca="1" si="11"/>
        <v>80</v>
      </c>
    </row>
    <row r="137" spans="1:8" x14ac:dyDescent="0.35">
      <c r="A137">
        <f t="shared" si="8"/>
        <v>1136</v>
      </c>
      <c r="B137" s="2">
        <f t="shared" ca="1" si="9"/>
        <v>45926</v>
      </c>
      <c r="C137" t="str" cm="1">
        <f t="array" aca="1" ref="C137" ca="1">INDEX(Products!$A$2:$A$9,RANDBETWEEN(1,8))</f>
        <v>Jacket</v>
      </c>
      <c r="D137" t="str">
        <f ca="1">_xlfn.XLOOKUP(C137,Products!A:A,Products!B:B)</f>
        <v>Training Wear</v>
      </c>
      <c r="E137" t="str" cm="1">
        <f t="array" aca="1" ref="E137" ca="1">INDEX(Regions!$A$2:$A$7,RANDBETWEEN(1,6))</f>
        <v>Limerick</v>
      </c>
      <c r="F137">
        <f t="shared" ca="1" si="10"/>
        <v>3</v>
      </c>
      <c r="G137">
        <f ca="1">VLOOKUP(C137,Products!$A$2:$C$9,3,FALSE)</f>
        <v>90</v>
      </c>
      <c r="H137">
        <f t="shared" ca="1" si="11"/>
        <v>270</v>
      </c>
    </row>
    <row r="138" spans="1:8" x14ac:dyDescent="0.35">
      <c r="A138">
        <f t="shared" si="8"/>
        <v>1137</v>
      </c>
      <c r="B138" s="2">
        <f t="shared" ca="1" si="9"/>
        <v>45645</v>
      </c>
      <c r="C138" t="str" cm="1">
        <f t="array" aca="1" ref="C138" ca="1">INDEX(Products!$A$2:$A$9,RANDBETWEEN(1,8))</f>
        <v>Jacket</v>
      </c>
      <c r="D138" t="str">
        <f ca="1">_xlfn.XLOOKUP(C138,Products!A:A,Products!B:B)</f>
        <v>Training Wear</v>
      </c>
      <c r="E138" t="str" cm="1">
        <f t="array" aca="1" ref="E138" ca="1">INDEX(Regions!$A$2:$A$7,RANDBETWEEN(1,6))</f>
        <v>Galway</v>
      </c>
      <c r="F138">
        <f t="shared" ca="1" si="10"/>
        <v>3</v>
      </c>
      <c r="G138">
        <f ca="1">VLOOKUP(C138,Products!$A$2:$C$9,3,FALSE)</f>
        <v>90</v>
      </c>
      <c r="H138">
        <f t="shared" ca="1" si="11"/>
        <v>270</v>
      </c>
    </row>
    <row r="139" spans="1:8" x14ac:dyDescent="0.35">
      <c r="A139">
        <f t="shared" si="8"/>
        <v>1138</v>
      </c>
      <c r="B139" s="2">
        <f t="shared" ca="1" si="9"/>
        <v>45325</v>
      </c>
      <c r="C139" t="str" cm="1">
        <f t="array" aca="1" ref="C139" ca="1">INDEX(Products!$A$2:$A$9,RANDBETWEEN(1,8))</f>
        <v>Jacket</v>
      </c>
      <c r="D139" t="str">
        <f ca="1">_xlfn.XLOOKUP(C139,Products!A:A,Products!B:B)</f>
        <v>Training Wear</v>
      </c>
      <c r="E139" t="str" cm="1">
        <f t="array" aca="1" ref="E139" ca="1">INDEX(Regions!$A$2:$A$7,RANDBETWEEN(1,6))</f>
        <v>Dublin</v>
      </c>
      <c r="F139">
        <f t="shared" ca="1" si="10"/>
        <v>4</v>
      </c>
      <c r="G139">
        <f ca="1">VLOOKUP(C139,Products!$A$2:$C$9,3,FALSE)</f>
        <v>90</v>
      </c>
      <c r="H139">
        <f t="shared" ca="1" si="11"/>
        <v>360</v>
      </c>
    </row>
    <row r="140" spans="1:8" x14ac:dyDescent="0.35">
      <c r="A140">
        <f t="shared" si="8"/>
        <v>1139</v>
      </c>
      <c r="B140" s="2">
        <f t="shared" ca="1" si="9"/>
        <v>45364</v>
      </c>
      <c r="C140" t="str" cm="1">
        <f t="array" aca="1" ref="C140" ca="1">INDEX(Products!$A$2:$A$9,RANDBETWEEN(1,8))</f>
        <v>Away Jersey</v>
      </c>
      <c r="D140" t="str">
        <f ca="1">_xlfn.XLOOKUP(C140,Products!A:A,Products!B:B)</f>
        <v>Jerseys</v>
      </c>
      <c r="E140" t="str" cm="1">
        <f t="array" aca="1" ref="E140" ca="1">INDEX(Regions!$A$2:$A$7,RANDBETWEEN(1,6))</f>
        <v>Galway</v>
      </c>
      <c r="F140">
        <f t="shared" ca="1" si="10"/>
        <v>3</v>
      </c>
      <c r="G140">
        <f ca="1">VLOOKUP(C140,Products!$A$2:$C$9,3,FALSE)</f>
        <v>80</v>
      </c>
      <c r="H140">
        <f t="shared" ca="1" si="11"/>
        <v>240</v>
      </c>
    </row>
    <row r="141" spans="1:8" x14ac:dyDescent="0.35">
      <c r="A141">
        <f t="shared" si="8"/>
        <v>1140</v>
      </c>
      <c r="B141" s="2">
        <f t="shared" ca="1" si="9"/>
        <v>45437</v>
      </c>
      <c r="C141" t="str" cm="1">
        <f t="array" aca="1" ref="C141" ca="1">INDEX(Products!$A$2:$A$9,RANDBETWEEN(1,8))</f>
        <v>Third Jersey</v>
      </c>
      <c r="D141" t="str">
        <f ca="1">_xlfn.XLOOKUP(C141,Products!A:A,Products!B:B)</f>
        <v>Jerseys</v>
      </c>
      <c r="E141" t="str" cm="1">
        <f t="array" aca="1" ref="E141" ca="1">INDEX(Regions!$A$2:$A$7,RANDBETWEEN(1,6))</f>
        <v>Waterford</v>
      </c>
      <c r="F141">
        <f t="shared" ca="1" si="10"/>
        <v>1</v>
      </c>
      <c r="G141">
        <f ca="1">VLOOKUP(C141,Products!$A$2:$C$9,3,FALSE)</f>
        <v>85</v>
      </c>
      <c r="H141">
        <f t="shared" ca="1" si="11"/>
        <v>85</v>
      </c>
    </row>
    <row r="142" spans="1:8" x14ac:dyDescent="0.35">
      <c r="A142">
        <f t="shared" si="8"/>
        <v>1141</v>
      </c>
      <c r="B142" s="2">
        <f t="shared" ca="1" si="9"/>
        <v>45766</v>
      </c>
      <c r="C142" t="str" cm="1">
        <f t="array" aca="1" ref="C142" ca="1">INDEX(Products!$A$2:$A$9,RANDBETWEEN(1,8))</f>
        <v>Away Jersey</v>
      </c>
      <c r="D142" t="str">
        <f ca="1">_xlfn.XLOOKUP(C142,Products!A:A,Products!B:B)</f>
        <v>Jerseys</v>
      </c>
      <c r="E142" t="str" cm="1">
        <f t="array" aca="1" ref="E142" ca="1">INDEX(Regions!$A$2:$A$7,RANDBETWEEN(1,6))</f>
        <v>Galway</v>
      </c>
      <c r="F142">
        <f t="shared" ca="1" si="10"/>
        <v>2</v>
      </c>
      <c r="G142">
        <f ca="1">VLOOKUP(C142,Products!$A$2:$C$9,3,FALSE)</f>
        <v>80</v>
      </c>
      <c r="H142">
        <f t="shared" ca="1" si="11"/>
        <v>160</v>
      </c>
    </row>
    <row r="143" spans="1:8" x14ac:dyDescent="0.35">
      <c r="A143">
        <f t="shared" si="8"/>
        <v>1142</v>
      </c>
      <c r="B143" s="2">
        <f t="shared" ca="1" si="9"/>
        <v>45364</v>
      </c>
      <c r="C143" t="str" cm="1">
        <f t="array" aca="1" ref="C143" ca="1">INDEX(Products!$A$2:$A$9,RANDBETWEEN(1,8))</f>
        <v>Scarf</v>
      </c>
      <c r="D143" t="str">
        <f ca="1">_xlfn.XLOOKUP(C143,Products!A:A,Products!B:B)</f>
        <v>Accessories</v>
      </c>
      <c r="E143" t="str" cm="1">
        <f t="array" aca="1" ref="E143" ca="1">INDEX(Regions!$A$2:$A$7,RANDBETWEEN(1,6))</f>
        <v>Waterford</v>
      </c>
      <c r="F143">
        <f t="shared" ca="1" si="10"/>
        <v>3</v>
      </c>
      <c r="G143">
        <f ca="1">VLOOKUP(C143,Products!$A$2:$C$9,3,FALSE)</f>
        <v>20</v>
      </c>
      <c r="H143">
        <f t="shared" ca="1" si="11"/>
        <v>60</v>
      </c>
    </row>
    <row r="144" spans="1:8" x14ac:dyDescent="0.35">
      <c r="A144">
        <f t="shared" si="8"/>
        <v>1143</v>
      </c>
      <c r="B144" s="2">
        <f t="shared" ca="1" si="9"/>
        <v>45715</v>
      </c>
      <c r="C144" t="str" cm="1">
        <f t="array" aca="1" ref="C144" ca="1">INDEX(Products!$A$2:$A$9,RANDBETWEEN(1,8))</f>
        <v>Jacket</v>
      </c>
      <c r="D144" t="str">
        <f ca="1">_xlfn.XLOOKUP(C144,Products!A:A,Products!B:B)</f>
        <v>Training Wear</v>
      </c>
      <c r="E144" t="str" cm="1">
        <f t="array" aca="1" ref="E144" ca="1">INDEX(Regions!$A$2:$A$7,RANDBETWEEN(1,6))</f>
        <v>Galway</v>
      </c>
      <c r="F144">
        <f t="shared" ca="1" si="10"/>
        <v>1</v>
      </c>
      <c r="G144">
        <f ca="1">VLOOKUP(C144,Products!$A$2:$C$9,3,FALSE)</f>
        <v>90</v>
      </c>
      <c r="H144">
        <f t="shared" ca="1" si="11"/>
        <v>90</v>
      </c>
    </row>
    <row r="145" spans="1:8" x14ac:dyDescent="0.35">
      <c r="A145">
        <f t="shared" si="8"/>
        <v>1144</v>
      </c>
      <c r="B145" s="2">
        <f t="shared" ca="1" si="9"/>
        <v>45878</v>
      </c>
      <c r="C145" t="str" cm="1">
        <f t="array" aca="1" ref="C145" ca="1">INDEX(Products!$A$2:$A$9,RANDBETWEEN(1,8))</f>
        <v>Training Top</v>
      </c>
      <c r="D145" t="str">
        <f ca="1">_xlfn.XLOOKUP(C145,Products!A:A,Products!B:B)</f>
        <v>Training Wear</v>
      </c>
      <c r="E145" t="str" cm="1">
        <f t="array" aca="1" ref="E145" ca="1">INDEX(Regions!$A$2:$A$7,RANDBETWEEN(1,6))</f>
        <v>Galway</v>
      </c>
      <c r="F145">
        <f t="shared" ca="1" si="10"/>
        <v>3</v>
      </c>
      <c r="G145">
        <f ca="1">VLOOKUP(C145,Products!$A$2:$C$9,3,FALSE)</f>
        <v>55</v>
      </c>
      <c r="H145">
        <f t="shared" ca="1" si="11"/>
        <v>165</v>
      </c>
    </row>
    <row r="146" spans="1:8" x14ac:dyDescent="0.35">
      <c r="A146">
        <f t="shared" si="8"/>
        <v>1145</v>
      </c>
      <c r="B146" s="2">
        <f t="shared" ca="1" si="9"/>
        <v>45686</v>
      </c>
      <c r="C146" t="str" cm="1">
        <f t="array" aca="1" ref="C146" ca="1">INDEX(Products!$A$2:$A$9,RANDBETWEEN(1,8))</f>
        <v>Away Jersey</v>
      </c>
      <c r="D146" t="str">
        <f ca="1">_xlfn.XLOOKUP(C146,Products!A:A,Products!B:B)</f>
        <v>Jerseys</v>
      </c>
      <c r="E146" t="str" cm="1">
        <f t="array" aca="1" ref="E146" ca="1">INDEX(Regions!$A$2:$A$7,RANDBETWEEN(1,6))</f>
        <v>Waterford</v>
      </c>
      <c r="F146">
        <f t="shared" ca="1" si="10"/>
        <v>5</v>
      </c>
      <c r="G146">
        <f ca="1">VLOOKUP(C146,Products!$A$2:$C$9,3,FALSE)</f>
        <v>80</v>
      </c>
      <c r="H146">
        <f t="shared" ca="1" si="11"/>
        <v>400</v>
      </c>
    </row>
    <row r="147" spans="1:8" x14ac:dyDescent="0.35">
      <c r="A147">
        <f t="shared" si="8"/>
        <v>1146</v>
      </c>
      <c r="B147" s="2">
        <f t="shared" ca="1" si="9"/>
        <v>45405</v>
      </c>
      <c r="C147" t="str" cm="1">
        <f t="array" aca="1" ref="C147" ca="1">INDEX(Products!$A$2:$A$9,RANDBETWEEN(1,8))</f>
        <v>Away Jersey</v>
      </c>
      <c r="D147" t="str">
        <f ca="1">_xlfn.XLOOKUP(C147,Products!A:A,Products!B:B)</f>
        <v>Jerseys</v>
      </c>
      <c r="E147" t="str" cm="1">
        <f t="array" aca="1" ref="E147" ca="1">INDEX(Regions!$A$2:$A$7,RANDBETWEEN(1,6))</f>
        <v>Belfast</v>
      </c>
      <c r="F147">
        <f t="shared" ca="1" si="10"/>
        <v>2</v>
      </c>
      <c r="G147">
        <f ca="1">VLOOKUP(C147,Products!$A$2:$C$9,3,FALSE)</f>
        <v>80</v>
      </c>
      <c r="H147">
        <f t="shared" ca="1" si="11"/>
        <v>160</v>
      </c>
    </row>
    <row r="148" spans="1:8" x14ac:dyDescent="0.35">
      <c r="A148">
        <f t="shared" si="8"/>
        <v>1147</v>
      </c>
      <c r="B148" s="2">
        <f t="shared" ca="1" si="9"/>
        <v>45876</v>
      </c>
      <c r="C148" t="str" cm="1">
        <f t="array" aca="1" ref="C148" ca="1">INDEX(Products!$A$2:$A$9,RANDBETWEEN(1,8))</f>
        <v>Training Top</v>
      </c>
      <c r="D148" t="str">
        <f ca="1">_xlfn.XLOOKUP(C148,Products!A:A,Products!B:B)</f>
        <v>Training Wear</v>
      </c>
      <c r="E148" t="str" cm="1">
        <f t="array" aca="1" ref="E148" ca="1">INDEX(Regions!$A$2:$A$7,RANDBETWEEN(1,6))</f>
        <v>Limerick</v>
      </c>
      <c r="F148">
        <f t="shared" ca="1" si="10"/>
        <v>3</v>
      </c>
      <c r="G148">
        <f ca="1">VLOOKUP(C148,Products!$A$2:$C$9,3,FALSE)</f>
        <v>55</v>
      </c>
      <c r="H148">
        <f t="shared" ca="1" si="11"/>
        <v>165</v>
      </c>
    </row>
    <row r="149" spans="1:8" x14ac:dyDescent="0.35">
      <c r="A149">
        <f t="shared" si="8"/>
        <v>1148</v>
      </c>
      <c r="B149" s="2">
        <f t="shared" ca="1" si="9"/>
        <v>45406</v>
      </c>
      <c r="C149" t="str" cm="1">
        <f t="array" aca="1" ref="C149" ca="1">INDEX(Products!$A$2:$A$9,RANDBETWEEN(1,8))</f>
        <v>Football</v>
      </c>
      <c r="D149" t="str">
        <f ca="1">_xlfn.XLOOKUP(C149,Products!A:A,Products!B:B)</f>
        <v>Equipment</v>
      </c>
      <c r="E149" t="str" cm="1">
        <f t="array" aca="1" ref="E149" ca="1">INDEX(Regions!$A$2:$A$7,RANDBETWEEN(1,6))</f>
        <v>Waterford</v>
      </c>
      <c r="F149">
        <f t="shared" ca="1" si="10"/>
        <v>4</v>
      </c>
      <c r="G149">
        <f ca="1">VLOOKUP(C149,Products!$A$2:$C$9,3,FALSE)</f>
        <v>30</v>
      </c>
      <c r="H149">
        <f t="shared" ca="1" si="11"/>
        <v>120</v>
      </c>
    </row>
    <row r="150" spans="1:8" x14ac:dyDescent="0.35">
      <c r="A150">
        <f t="shared" si="8"/>
        <v>1149</v>
      </c>
      <c r="B150" s="2">
        <f t="shared" ca="1" si="9"/>
        <v>45687</v>
      </c>
      <c r="C150" t="str" cm="1">
        <f t="array" aca="1" ref="C150" ca="1">INDEX(Products!$A$2:$A$9,RANDBETWEEN(1,8))</f>
        <v>Hat</v>
      </c>
      <c r="D150" t="str">
        <f ca="1">_xlfn.XLOOKUP(C150,Products!A:A,Products!B:B)</f>
        <v>Accessories</v>
      </c>
      <c r="E150" t="str" cm="1">
        <f t="array" aca="1" ref="E150" ca="1">INDEX(Regions!$A$2:$A$7,RANDBETWEEN(1,6))</f>
        <v>Belfast</v>
      </c>
      <c r="F150">
        <f t="shared" ca="1" si="10"/>
        <v>4</v>
      </c>
      <c r="G150">
        <f ca="1">VLOOKUP(C150,Products!$A$2:$C$9,3,FALSE)</f>
        <v>25</v>
      </c>
      <c r="H150">
        <f t="shared" ca="1" si="11"/>
        <v>100</v>
      </c>
    </row>
    <row r="151" spans="1:8" x14ac:dyDescent="0.35">
      <c r="A151">
        <f t="shared" si="8"/>
        <v>1150</v>
      </c>
      <c r="B151" s="2">
        <f t="shared" ca="1" si="9"/>
        <v>45604</v>
      </c>
      <c r="C151" t="str" cm="1">
        <f t="array" aca="1" ref="C151" ca="1">INDEX(Products!$A$2:$A$9,RANDBETWEEN(1,8))</f>
        <v>Home Jersey</v>
      </c>
      <c r="D151" t="str">
        <f ca="1">_xlfn.XLOOKUP(C151,Products!A:A,Products!B:B)</f>
        <v>Jerseys</v>
      </c>
      <c r="E151" t="str" cm="1">
        <f t="array" aca="1" ref="E151" ca="1">INDEX(Regions!$A$2:$A$7,RANDBETWEEN(1,6))</f>
        <v>Belfast</v>
      </c>
      <c r="F151">
        <f t="shared" ca="1" si="10"/>
        <v>3</v>
      </c>
      <c r="G151">
        <f ca="1">VLOOKUP(C151,Products!$A$2:$C$9,3,FALSE)</f>
        <v>80</v>
      </c>
      <c r="H151">
        <f t="shared" ca="1" si="11"/>
        <v>240</v>
      </c>
    </row>
    <row r="152" spans="1:8" x14ac:dyDescent="0.35">
      <c r="A152">
        <f t="shared" si="8"/>
        <v>1151</v>
      </c>
      <c r="B152" s="2">
        <f t="shared" ca="1" si="9"/>
        <v>45343</v>
      </c>
      <c r="C152" t="str" cm="1">
        <f t="array" aca="1" ref="C152" ca="1">INDEX(Products!$A$2:$A$9,RANDBETWEEN(1,8))</f>
        <v>Away Jersey</v>
      </c>
      <c r="D152" t="str">
        <f ca="1">_xlfn.XLOOKUP(C152,Products!A:A,Products!B:B)</f>
        <v>Jerseys</v>
      </c>
      <c r="E152" t="str" cm="1">
        <f t="array" aca="1" ref="E152" ca="1">INDEX(Regions!$A$2:$A$7,RANDBETWEEN(1,6))</f>
        <v>Belfast</v>
      </c>
      <c r="F152">
        <f t="shared" ca="1" si="10"/>
        <v>1</v>
      </c>
      <c r="G152">
        <f ca="1">VLOOKUP(C152,Products!$A$2:$C$9,3,FALSE)</f>
        <v>80</v>
      </c>
      <c r="H152">
        <f t="shared" ca="1" si="11"/>
        <v>80</v>
      </c>
    </row>
    <row r="153" spans="1:8" x14ac:dyDescent="0.35">
      <c r="A153">
        <f t="shared" si="8"/>
        <v>1152</v>
      </c>
      <c r="B153" s="2">
        <f t="shared" ca="1" si="9"/>
        <v>45817</v>
      </c>
      <c r="C153" t="str" cm="1">
        <f t="array" aca="1" ref="C153" ca="1">INDEX(Products!$A$2:$A$9,RANDBETWEEN(1,8))</f>
        <v>Away Jersey</v>
      </c>
      <c r="D153" t="str">
        <f ca="1">_xlfn.XLOOKUP(C153,Products!A:A,Products!B:B)</f>
        <v>Jerseys</v>
      </c>
      <c r="E153" t="str" cm="1">
        <f t="array" aca="1" ref="E153" ca="1">INDEX(Regions!$A$2:$A$7,RANDBETWEEN(1,6))</f>
        <v>Belfast</v>
      </c>
      <c r="F153">
        <f t="shared" ca="1" si="10"/>
        <v>5</v>
      </c>
      <c r="G153">
        <f ca="1">VLOOKUP(C153,Products!$A$2:$C$9,3,FALSE)</f>
        <v>80</v>
      </c>
      <c r="H153">
        <f t="shared" ca="1" si="11"/>
        <v>400</v>
      </c>
    </row>
    <row r="154" spans="1:8" x14ac:dyDescent="0.35">
      <c r="A154">
        <f t="shared" si="8"/>
        <v>1153</v>
      </c>
      <c r="B154" s="2">
        <f t="shared" ca="1" si="9"/>
        <v>45469</v>
      </c>
      <c r="C154" t="str" cm="1">
        <f t="array" aca="1" ref="C154" ca="1">INDEX(Products!$A$2:$A$9,RANDBETWEEN(1,8))</f>
        <v>Scarf</v>
      </c>
      <c r="D154" t="str">
        <f ca="1">_xlfn.XLOOKUP(C154,Products!A:A,Products!B:B)</f>
        <v>Accessories</v>
      </c>
      <c r="E154" t="str" cm="1">
        <f t="array" aca="1" ref="E154" ca="1">INDEX(Regions!$A$2:$A$7,RANDBETWEEN(1,6))</f>
        <v>Waterford</v>
      </c>
      <c r="F154">
        <f t="shared" ca="1" si="10"/>
        <v>4</v>
      </c>
      <c r="G154">
        <f ca="1">VLOOKUP(C154,Products!$A$2:$C$9,3,FALSE)</f>
        <v>20</v>
      </c>
      <c r="H154">
        <f t="shared" ca="1" si="11"/>
        <v>80</v>
      </c>
    </row>
    <row r="155" spans="1:8" x14ac:dyDescent="0.35">
      <c r="A155">
        <f t="shared" si="8"/>
        <v>1154</v>
      </c>
      <c r="B155" s="2">
        <f t="shared" ca="1" si="9"/>
        <v>45675</v>
      </c>
      <c r="C155" t="str" cm="1">
        <f t="array" aca="1" ref="C155" ca="1">INDEX(Products!$A$2:$A$9,RANDBETWEEN(1,8))</f>
        <v>Football</v>
      </c>
      <c r="D155" t="str">
        <f ca="1">_xlfn.XLOOKUP(C155,Products!A:A,Products!B:B)</f>
        <v>Equipment</v>
      </c>
      <c r="E155" t="str" cm="1">
        <f t="array" aca="1" ref="E155" ca="1">INDEX(Regions!$A$2:$A$7,RANDBETWEEN(1,6))</f>
        <v>Belfast</v>
      </c>
      <c r="F155">
        <f t="shared" ca="1" si="10"/>
        <v>4</v>
      </c>
      <c r="G155">
        <f ca="1">VLOOKUP(C155,Products!$A$2:$C$9,3,FALSE)</f>
        <v>30</v>
      </c>
      <c r="H155">
        <f t="shared" ca="1" si="11"/>
        <v>120</v>
      </c>
    </row>
    <row r="156" spans="1:8" x14ac:dyDescent="0.35">
      <c r="A156">
        <f t="shared" si="8"/>
        <v>1155</v>
      </c>
      <c r="B156" s="2">
        <f t="shared" ca="1" si="9"/>
        <v>45502</v>
      </c>
      <c r="C156" t="str" cm="1">
        <f t="array" aca="1" ref="C156" ca="1">INDEX(Products!$A$2:$A$9,RANDBETWEEN(1,8))</f>
        <v>Third Jersey</v>
      </c>
      <c r="D156" t="str">
        <f ca="1">_xlfn.XLOOKUP(C156,Products!A:A,Products!B:B)</f>
        <v>Jerseys</v>
      </c>
      <c r="E156" t="str" cm="1">
        <f t="array" aca="1" ref="E156" ca="1">INDEX(Regions!$A$2:$A$7,RANDBETWEEN(1,6))</f>
        <v>Belfast</v>
      </c>
      <c r="F156">
        <f t="shared" ca="1" si="10"/>
        <v>2</v>
      </c>
      <c r="G156">
        <f ca="1">VLOOKUP(C156,Products!$A$2:$C$9,3,FALSE)</f>
        <v>85</v>
      </c>
      <c r="H156">
        <f t="shared" ca="1" si="11"/>
        <v>170</v>
      </c>
    </row>
    <row r="157" spans="1:8" x14ac:dyDescent="0.35">
      <c r="A157">
        <f t="shared" si="8"/>
        <v>1156</v>
      </c>
      <c r="B157" s="2">
        <f t="shared" ca="1" si="9"/>
        <v>45773</v>
      </c>
      <c r="C157" t="str" cm="1">
        <f t="array" aca="1" ref="C157" ca="1">INDEX(Products!$A$2:$A$9,RANDBETWEEN(1,8))</f>
        <v>Jacket</v>
      </c>
      <c r="D157" t="str">
        <f ca="1">_xlfn.XLOOKUP(C157,Products!A:A,Products!B:B)</f>
        <v>Training Wear</v>
      </c>
      <c r="E157" t="str" cm="1">
        <f t="array" aca="1" ref="E157" ca="1">INDEX(Regions!$A$2:$A$7,RANDBETWEEN(1,6))</f>
        <v>Cork</v>
      </c>
      <c r="F157">
        <f t="shared" ca="1" si="10"/>
        <v>4</v>
      </c>
      <c r="G157">
        <f ca="1">VLOOKUP(C157,Products!$A$2:$C$9,3,FALSE)</f>
        <v>90</v>
      </c>
      <c r="H157">
        <f t="shared" ca="1" si="11"/>
        <v>360</v>
      </c>
    </row>
    <row r="158" spans="1:8" x14ac:dyDescent="0.35">
      <c r="A158">
        <f t="shared" si="8"/>
        <v>1157</v>
      </c>
      <c r="B158" s="2">
        <f t="shared" ca="1" si="9"/>
        <v>45390</v>
      </c>
      <c r="C158" t="str" cm="1">
        <f t="array" aca="1" ref="C158" ca="1">INDEX(Products!$A$2:$A$9,RANDBETWEEN(1,8))</f>
        <v>Scarf</v>
      </c>
      <c r="D158" t="str">
        <f ca="1">_xlfn.XLOOKUP(C158,Products!A:A,Products!B:B)</f>
        <v>Accessories</v>
      </c>
      <c r="E158" t="str" cm="1">
        <f t="array" aca="1" ref="E158" ca="1">INDEX(Regions!$A$2:$A$7,RANDBETWEEN(1,6))</f>
        <v>Galway</v>
      </c>
      <c r="F158">
        <f t="shared" ca="1" si="10"/>
        <v>2</v>
      </c>
      <c r="G158">
        <f ca="1">VLOOKUP(C158,Products!$A$2:$C$9,3,FALSE)</f>
        <v>20</v>
      </c>
      <c r="H158">
        <f t="shared" ca="1" si="11"/>
        <v>40</v>
      </c>
    </row>
    <row r="159" spans="1:8" x14ac:dyDescent="0.35">
      <c r="A159">
        <f t="shared" si="8"/>
        <v>1158</v>
      </c>
      <c r="B159" s="2">
        <f t="shared" ca="1" si="9"/>
        <v>45626</v>
      </c>
      <c r="C159" t="str" cm="1">
        <f t="array" aca="1" ref="C159" ca="1">INDEX(Products!$A$2:$A$9,RANDBETWEEN(1,8))</f>
        <v>Jacket</v>
      </c>
      <c r="D159" t="str">
        <f ca="1">_xlfn.XLOOKUP(C159,Products!A:A,Products!B:B)</f>
        <v>Training Wear</v>
      </c>
      <c r="E159" t="str" cm="1">
        <f t="array" aca="1" ref="E159" ca="1">INDEX(Regions!$A$2:$A$7,RANDBETWEEN(1,6))</f>
        <v>Cork</v>
      </c>
      <c r="F159">
        <f t="shared" ca="1" si="10"/>
        <v>1</v>
      </c>
      <c r="G159">
        <f ca="1">VLOOKUP(C159,Products!$A$2:$C$9,3,FALSE)</f>
        <v>90</v>
      </c>
      <c r="H159">
        <f t="shared" ca="1" si="11"/>
        <v>90</v>
      </c>
    </row>
    <row r="160" spans="1:8" x14ac:dyDescent="0.35">
      <c r="A160">
        <f t="shared" si="8"/>
        <v>1159</v>
      </c>
      <c r="B160" s="2">
        <f t="shared" ca="1" si="9"/>
        <v>45351</v>
      </c>
      <c r="C160" t="str" cm="1">
        <f t="array" aca="1" ref="C160" ca="1">INDEX(Products!$A$2:$A$9,RANDBETWEEN(1,8))</f>
        <v>Away Jersey</v>
      </c>
      <c r="D160" t="str">
        <f ca="1">_xlfn.XLOOKUP(C160,Products!A:A,Products!B:B)</f>
        <v>Jerseys</v>
      </c>
      <c r="E160" t="str" cm="1">
        <f t="array" aca="1" ref="E160" ca="1">INDEX(Regions!$A$2:$A$7,RANDBETWEEN(1,6))</f>
        <v>Galway</v>
      </c>
      <c r="F160">
        <f t="shared" ca="1" si="10"/>
        <v>2</v>
      </c>
      <c r="G160">
        <f ca="1">VLOOKUP(C160,Products!$A$2:$C$9,3,FALSE)</f>
        <v>80</v>
      </c>
      <c r="H160">
        <f t="shared" ca="1" si="11"/>
        <v>160</v>
      </c>
    </row>
    <row r="161" spans="1:8" x14ac:dyDescent="0.35">
      <c r="A161">
        <f t="shared" si="8"/>
        <v>1160</v>
      </c>
      <c r="B161" s="2">
        <f t="shared" ca="1" si="9"/>
        <v>45900</v>
      </c>
      <c r="C161" t="str" cm="1">
        <f t="array" aca="1" ref="C161" ca="1">INDEX(Products!$A$2:$A$9,RANDBETWEEN(1,8))</f>
        <v>Jacket</v>
      </c>
      <c r="D161" t="str">
        <f ca="1">_xlfn.XLOOKUP(C161,Products!A:A,Products!B:B)</f>
        <v>Training Wear</v>
      </c>
      <c r="E161" t="str" cm="1">
        <f t="array" aca="1" ref="E161" ca="1">INDEX(Regions!$A$2:$A$7,RANDBETWEEN(1,6))</f>
        <v>Belfast</v>
      </c>
      <c r="F161">
        <f t="shared" ca="1" si="10"/>
        <v>5</v>
      </c>
      <c r="G161">
        <f ca="1">VLOOKUP(C161,Products!$A$2:$C$9,3,FALSE)</f>
        <v>90</v>
      </c>
      <c r="H161">
        <f t="shared" ca="1" si="11"/>
        <v>450</v>
      </c>
    </row>
    <row r="162" spans="1:8" x14ac:dyDescent="0.35">
      <c r="A162">
        <f t="shared" si="8"/>
        <v>1161</v>
      </c>
      <c r="B162" s="2">
        <f t="shared" ca="1" si="9"/>
        <v>45934</v>
      </c>
      <c r="C162" t="str" cm="1">
        <f t="array" aca="1" ref="C162" ca="1">INDEX(Products!$A$2:$A$9,RANDBETWEEN(1,8))</f>
        <v>Training Top</v>
      </c>
      <c r="D162" t="str">
        <f ca="1">_xlfn.XLOOKUP(C162,Products!A:A,Products!B:B)</f>
        <v>Training Wear</v>
      </c>
      <c r="E162" t="str" cm="1">
        <f t="array" aca="1" ref="E162" ca="1">INDEX(Regions!$A$2:$A$7,RANDBETWEEN(1,6))</f>
        <v>Belfast</v>
      </c>
      <c r="F162">
        <f t="shared" ca="1" si="10"/>
        <v>1</v>
      </c>
      <c r="G162">
        <f ca="1">VLOOKUP(C162,Products!$A$2:$C$9,3,FALSE)</f>
        <v>55</v>
      </c>
      <c r="H162">
        <f t="shared" ca="1" si="11"/>
        <v>55</v>
      </c>
    </row>
    <row r="163" spans="1:8" x14ac:dyDescent="0.35">
      <c r="A163">
        <f t="shared" si="8"/>
        <v>1162</v>
      </c>
      <c r="B163" s="2">
        <f t="shared" ca="1" si="9"/>
        <v>45519</v>
      </c>
      <c r="C163" t="str" cm="1">
        <f t="array" aca="1" ref="C163" ca="1">INDEX(Products!$A$2:$A$9,RANDBETWEEN(1,8))</f>
        <v>Away Jersey</v>
      </c>
      <c r="D163" t="str">
        <f ca="1">_xlfn.XLOOKUP(C163,Products!A:A,Products!B:B)</f>
        <v>Jerseys</v>
      </c>
      <c r="E163" t="str" cm="1">
        <f t="array" aca="1" ref="E163" ca="1">INDEX(Regions!$A$2:$A$7,RANDBETWEEN(1,6))</f>
        <v>Dublin</v>
      </c>
      <c r="F163">
        <f t="shared" ca="1" si="10"/>
        <v>4</v>
      </c>
      <c r="G163">
        <f ca="1">VLOOKUP(C163,Products!$A$2:$C$9,3,FALSE)</f>
        <v>80</v>
      </c>
      <c r="H163">
        <f t="shared" ca="1" si="11"/>
        <v>320</v>
      </c>
    </row>
    <row r="164" spans="1:8" x14ac:dyDescent="0.35">
      <c r="A164">
        <f t="shared" si="8"/>
        <v>1163</v>
      </c>
      <c r="B164" s="2">
        <f t="shared" ca="1" si="9"/>
        <v>45681</v>
      </c>
      <c r="C164" t="str" cm="1">
        <f t="array" aca="1" ref="C164" ca="1">INDEX(Products!$A$2:$A$9,RANDBETWEEN(1,8))</f>
        <v>Third Jersey</v>
      </c>
      <c r="D164" t="str">
        <f ca="1">_xlfn.XLOOKUP(C164,Products!A:A,Products!B:B)</f>
        <v>Jerseys</v>
      </c>
      <c r="E164" t="str" cm="1">
        <f t="array" aca="1" ref="E164" ca="1">INDEX(Regions!$A$2:$A$7,RANDBETWEEN(1,6))</f>
        <v>Cork</v>
      </c>
      <c r="F164">
        <f t="shared" ca="1" si="10"/>
        <v>5</v>
      </c>
      <c r="G164">
        <f ca="1">VLOOKUP(C164,Products!$A$2:$C$9,3,FALSE)</f>
        <v>85</v>
      </c>
      <c r="H164">
        <f t="shared" ca="1" si="11"/>
        <v>425</v>
      </c>
    </row>
    <row r="165" spans="1:8" x14ac:dyDescent="0.35">
      <c r="A165">
        <f t="shared" si="8"/>
        <v>1164</v>
      </c>
      <c r="B165" s="2">
        <f t="shared" ca="1" si="9"/>
        <v>45650</v>
      </c>
      <c r="C165" t="str" cm="1">
        <f t="array" aca="1" ref="C165" ca="1">INDEX(Products!$A$2:$A$9,RANDBETWEEN(1,8))</f>
        <v>Hat</v>
      </c>
      <c r="D165" t="str">
        <f ca="1">_xlfn.XLOOKUP(C165,Products!A:A,Products!B:B)</f>
        <v>Accessories</v>
      </c>
      <c r="E165" t="str" cm="1">
        <f t="array" aca="1" ref="E165" ca="1">INDEX(Regions!$A$2:$A$7,RANDBETWEEN(1,6))</f>
        <v>Dublin</v>
      </c>
      <c r="F165">
        <f t="shared" ca="1" si="10"/>
        <v>5</v>
      </c>
      <c r="G165">
        <f ca="1">VLOOKUP(C165,Products!$A$2:$C$9,3,FALSE)</f>
        <v>25</v>
      </c>
      <c r="H165">
        <f t="shared" ca="1" si="11"/>
        <v>125</v>
      </c>
    </row>
    <row r="166" spans="1:8" x14ac:dyDescent="0.35">
      <c r="A166">
        <f t="shared" si="8"/>
        <v>1165</v>
      </c>
      <c r="B166" s="2">
        <f t="shared" ca="1" si="9"/>
        <v>45685</v>
      </c>
      <c r="C166" t="str" cm="1">
        <f t="array" aca="1" ref="C166" ca="1">INDEX(Products!$A$2:$A$9,RANDBETWEEN(1,8))</f>
        <v>Hat</v>
      </c>
      <c r="D166" t="str">
        <f ca="1">_xlfn.XLOOKUP(C166,Products!A:A,Products!B:B)</f>
        <v>Accessories</v>
      </c>
      <c r="E166" t="str" cm="1">
        <f t="array" aca="1" ref="E166" ca="1">INDEX(Regions!$A$2:$A$7,RANDBETWEEN(1,6))</f>
        <v>Waterford</v>
      </c>
      <c r="F166">
        <f t="shared" ca="1" si="10"/>
        <v>3</v>
      </c>
      <c r="G166">
        <f ca="1">VLOOKUP(C166,Products!$A$2:$C$9,3,FALSE)</f>
        <v>25</v>
      </c>
      <c r="H166">
        <f t="shared" ca="1" si="11"/>
        <v>75</v>
      </c>
    </row>
    <row r="167" spans="1:8" x14ac:dyDescent="0.35">
      <c r="A167">
        <f t="shared" si="8"/>
        <v>1166</v>
      </c>
      <c r="B167" s="2">
        <f t="shared" ca="1" si="9"/>
        <v>45414</v>
      </c>
      <c r="C167" t="str" cm="1">
        <f t="array" aca="1" ref="C167" ca="1">INDEX(Products!$A$2:$A$9,RANDBETWEEN(1,8))</f>
        <v>Football</v>
      </c>
      <c r="D167" t="str">
        <f ca="1">_xlfn.XLOOKUP(C167,Products!A:A,Products!B:B)</f>
        <v>Equipment</v>
      </c>
      <c r="E167" t="str" cm="1">
        <f t="array" aca="1" ref="E167" ca="1">INDEX(Regions!$A$2:$A$7,RANDBETWEEN(1,6))</f>
        <v>Waterford</v>
      </c>
      <c r="F167">
        <f t="shared" ca="1" si="10"/>
        <v>5</v>
      </c>
      <c r="G167">
        <f ca="1">VLOOKUP(C167,Products!$A$2:$C$9,3,FALSE)</f>
        <v>30</v>
      </c>
      <c r="H167">
        <f t="shared" ca="1" si="11"/>
        <v>150</v>
      </c>
    </row>
    <row r="168" spans="1:8" x14ac:dyDescent="0.35">
      <c r="A168">
        <f t="shared" si="8"/>
        <v>1167</v>
      </c>
      <c r="B168" s="2">
        <f t="shared" ca="1" si="9"/>
        <v>45672</v>
      </c>
      <c r="C168" t="str" cm="1">
        <f t="array" aca="1" ref="C168" ca="1">INDEX(Products!$A$2:$A$9,RANDBETWEEN(1,8))</f>
        <v>Third Jersey</v>
      </c>
      <c r="D168" t="str">
        <f ca="1">_xlfn.XLOOKUP(C168,Products!A:A,Products!B:B)</f>
        <v>Jerseys</v>
      </c>
      <c r="E168" t="str" cm="1">
        <f t="array" aca="1" ref="E168" ca="1">INDEX(Regions!$A$2:$A$7,RANDBETWEEN(1,6))</f>
        <v>Galway</v>
      </c>
      <c r="F168">
        <f t="shared" ca="1" si="10"/>
        <v>5</v>
      </c>
      <c r="G168">
        <f ca="1">VLOOKUP(C168,Products!$A$2:$C$9,3,FALSE)</f>
        <v>85</v>
      </c>
      <c r="H168">
        <f t="shared" ca="1" si="11"/>
        <v>425</v>
      </c>
    </row>
    <row r="169" spans="1:8" x14ac:dyDescent="0.35">
      <c r="A169">
        <f t="shared" si="8"/>
        <v>1168</v>
      </c>
      <c r="B169" s="2">
        <f t="shared" ca="1" si="9"/>
        <v>45308</v>
      </c>
      <c r="C169" t="str" cm="1">
        <f t="array" aca="1" ref="C169" ca="1">INDEX(Products!$A$2:$A$9,RANDBETWEEN(1,8))</f>
        <v>Training Top</v>
      </c>
      <c r="D169" t="str">
        <f ca="1">_xlfn.XLOOKUP(C169,Products!A:A,Products!B:B)</f>
        <v>Training Wear</v>
      </c>
      <c r="E169" t="str" cm="1">
        <f t="array" aca="1" ref="E169" ca="1">INDEX(Regions!$A$2:$A$7,RANDBETWEEN(1,6))</f>
        <v>Belfast</v>
      </c>
      <c r="F169">
        <f t="shared" ca="1" si="10"/>
        <v>1</v>
      </c>
      <c r="G169">
        <f ca="1">VLOOKUP(C169,Products!$A$2:$C$9,3,FALSE)</f>
        <v>55</v>
      </c>
      <c r="H169">
        <f t="shared" ca="1" si="11"/>
        <v>55</v>
      </c>
    </row>
    <row r="170" spans="1:8" x14ac:dyDescent="0.35">
      <c r="A170">
        <f t="shared" si="8"/>
        <v>1169</v>
      </c>
      <c r="B170" s="2">
        <f t="shared" ca="1" si="9"/>
        <v>45850</v>
      </c>
      <c r="C170" t="str" cm="1">
        <f t="array" aca="1" ref="C170" ca="1">INDEX(Products!$A$2:$A$9,RANDBETWEEN(1,8))</f>
        <v>Training Top</v>
      </c>
      <c r="D170" t="str">
        <f ca="1">_xlfn.XLOOKUP(C170,Products!A:A,Products!B:B)</f>
        <v>Training Wear</v>
      </c>
      <c r="E170" t="str" cm="1">
        <f t="array" aca="1" ref="E170" ca="1">INDEX(Regions!$A$2:$A$7,RANDBETWEEN(1,6))</f>
        <v>Belfast</v>
      </c>
      <c r="F170">
        <f t="shared" ca="1" si="10"/>
        <v>5</v>
      </c>
      <c r="G170">
        <f ca="1">VLOOKUP(C170,Products!$A$2:$C$9,3,FALSE)</f>
        <v>55</v>
      </c>
      <c r="H170">
        <f t="shared" ca="1" si="11"/>
        <v>275</v>
      </c>
    </row>
    <row r="171" spans="1:8" x14ac:dyDescent="0.35">
      <c r="A171">
        <f t="shared" si="8"/>
        <v>1170</v>
      </c>
      <c r="B171" s="2">
        <f t="shared" ca="1" si="9"/>
        <v>45860</v>
      </c>
      <c r="C171" t="str" cm="1">
        <f t="array" aca="1" ref="C171" ca="1">INDEX(Products!$A$2:$A$9,RANDBETWEEN(1,8))</f>
        <v>Football</v>
      </c>
      <c r="D171" t="str">
        <f ca="1">_xlfn.XLOOKUP(C171,Products!A:A,Products!B:B)</f>
        <v>Equipment</v>
      </c>
      <c r="E171" t="str" cm="1">
        <f t="array" aca="1" ref="E171" ca="1">INDEX(Regions!$A$2:$A$7,RANDBETWEEN(1,6))</f>
        <v>Limerick</v>
      </c>
      <c r="F171">
        <f t="shared" ca="1" si="10"/>
        <v>1</v>
      </c>
      <c r="G171">
        <f ca="1">VLOOKUP(C171,Products!$A$2:$C$9,3,FALSE)</f>
        <v>30</v>
      </c>
      <c r="H171">
        <f t="shared" ca="1" si="11"/>
        <v>30</v>
      </c>
    </row>
    <row r="172" spans="1:8" x14ac:dyDescent="0.35">
      <c r="A172">
        <f t="shared" si="8"/>
        <v>1171</v>
      </c>
      <c r="B172" s="2">
        <f t="shared" ca="1" si="9"/>
        <v>45840</v>
      </c>
      <c r="C172" t="str" cm="1">
        <f t="array" aca="1" ref="C172" ca="1">INDEX(Products!$A$2:$A$9,RANDBETWEEN(1,8))</f>
        <v>Away Jersey</v>
      </c>
      <c r="D172" t="str">
        <f ca="1">_xlfn.XLOOKUP(C172,Products!A:A,Products!B:B)</f>
        <v>Jerseys</v>
      </c>
      <c r="E172" t="str" cm="1">
        <f t="array" aca="1" ref="E172" ca="1">INDEX(Regions!$A$2:$A$7,RANDBETWEEN(1,6))</f>
        <v>Cork</v>
      </c>
      <c r="F172">
        <f t="shared" ca="1" si="10"/>
        <v>4</v>
      </c>
      <c r="G172">
        <f ca="1">VLOOKUP(C172,Products!$A$2:$C$9,3,FALSE)</f>
        <v>80</v>
      </c>
      <c r="H172">
        <f t="shared" ca="1" si="11"/>
        <v>320</v>
      </c>
    </row>
    <row r="173" spans="1:8" x14ac:dyDescent="0.35">
      <c r="A173">
        <f t="shared" si="8"/>
        <v>1172</v>
      </c>
      <c r="B173" s="2">
        <f t="shared" ca="1" si="9"/>
        <v>45311</v>
      </c>
      <c r="C173" t="str" cm="1">
        <f t="array" aca="1" ref="C173" ca="1">INDEX(Products!$A$2:$A$9,RANDBETWEEN(1,8))</f>
        <v>Training Top</v>
      </c>
      <c r="D173" t="str">
        <f ca="1">_xlfn.XLOOKUP(C173,Products!A:A,Products!B:B)</f>
        <v>Training Wear</v>
      </c>
      <c r="E173" t="str" cm="1">
        <f t="array" aca="1" ref="E173" ca="1">INDEX(Regions!$A$2:$A$7,RANDBETWEEN(1,6))</f>
        <v>Limerick</v>
      </c>
      <c r="F173">
        <f t="shared" ca="1" si="10"/>
        <v>2</v>
      </c>
      <c r="G173">
        <f ca="1">VLOOKUP(C173,Products!$A$2:$C$9,3,FALSE)</f>
        <v>55</v>
      </c>
      <c r="H173">
        <f t="shared" ca="1" si="11"/>
        <v>110</v>
      </c>
    </row>
    <row r="174" spans="1:8" x14ac:dyDescent="0.35">
      <c r="A174">
        <f t="shared" si="8"/>
        <v>1173</v>
      </c>
      <c r="B174" s="2">
        <f t="shared" ca="1" si="9"/>
        <v>45767</v>
      </c>
      <c r="C174" t="str" cm="1">
        <f t="array" aca="1" ref="C174" ca="1">INDEX(Products!$A$2:$A$9,RANDBETWEEN(1,8))</f>
        <v>Football</v>
      </c>
      <c r="D174" t="str">
        <f ca="1">_xlfn.XLOOKUP(C174,Products!A:A,Products!B:B)</f>
        <v>Equipment</v>
      </c>
      <c r="E174" t="str" cm="1">
        <f t="array" aca="1" ref="E174" ca="1">INDEX(Regions!$A$2:$A$7,RANDBETWEEN(1,6))</f>
        <v>Limerick</v>
      </c>
      <c r="F174">
        <f t="shared" ca="1" si="10"/>
        <v>2</v>
      </c>
      <c r="G174">
        <f ca="1">VLOOKUP(C174,Products!$A$2:$C$9,3,FALSE)</f>
        <v>30</v>
      </c>
      <c r="H174">
        <f t="shared" ca="1" si="11"/>
        <v>60</v>
      </c>
    </row>
    <row r="175" spans="1:8" x14ac:dyDescent="0.35">
      <c r="A175">
        <f t="shared" si="8"/>
        <v>1174</v>
      </c>
      <c r="B175" s="2">
        <f t="shared" ca="1" si="9"/>
        <v>45703</v>
      </c>
      <c r="C175" t="str" cm="1">
        <f t="array" aca="1" ref="C175" ca="1">INDEX(Products!$A$2:$A$9,RANDBETWEEN(1,8))</f>
        <v>Away Jersey</v>
      </c>
      <c r="D175" t="str">
        <f ca="1">_xlfn.XLOOKUP(C175,Products!A:A,Products!B:B)</f>
        <v>Jerseys</v>
      </c>
      <c r="E175" t="str" cm="1">
        <f t="array" aca="1" ref="E175" ca="1">INDEX(Regions!$A$2:$A$7,RANDBETWEEN(1,6))</f>
        <v>Limerick</v>
      </c>
      <c r="F175">
        <f t="shared" ca="1" si="10"/>
        <v>2</v>
      </c>
      <c r="G175">
        <f ca="1">VLOOKUP(C175,Products!$A$2:$C$9,3,FALSE)</f>
        <v>80</v>
      </c>
      <c r="H175">
        <f t="shared" ca="1" si="11"/>
        <v>160</v>
      </c>
    </row>
    <row r="176" spans="1:8" x14ac:dyDescent="0.35">
      <c r="A176">
        <f t="shared" si="8"/>
        <v>1175</v>
      </c>
      <c r="B176" s="2">
        <f t="shared" ca="1" si="9"/>
        <v>45872</v>
      </c>
      <c r="C176" t="str" cm="1">
        <f t="array" aca="1" ref="C176" ca="1">INDEX(Products!$A$2:$A$9,RANDBETWEEN(1,8))</f>
        <v>Jacket</v>
      </c>
      <c r="D176" t="str">
        <f ca="1">_xlfn.XLOOKUP(C176,Products!A:A,Products!B:B)</f>
        <v>Training Wear</v>
      </c>
      <c r="E176" t="str" cm="1">
        <f t="array" aca="1" ref="E176" ca="1">INDEX(Regions!$A$2:$A$7,RANDBETWEEN(1,6))</f>
        <v>Cork</v>
      </c>
      <c r="F176">
        <f t="shared" ca="1" si="10"/>
        <v>4</v>
      </c>
      <c r="G176">
        <f ca="1">VLOOKUP(C176,Products!$A$2:$C$9,3,FALSE)</f>
        <v>90</v>
      </c>
      <c r="H176">
        <f t="shared" ca="1" si="11"/>
        <v>360</v>
      </c>
    </row>
    <row r="177" spans="1:8" x14ac:dyDescent="0.35">
      <c r="A177">
        <f t="shared" si="8"/>
        <v>1176</v>
      </c>
      <c r="B177" s="2">
        <f t="shared" ca="1" si="9"/>
        <v>45852</v>
      </c>
      <c r="C177" t="str" cm="1">
        <f t="array" aca="1" ref="C177" ca="1">INDEX(Products!$A$2:$A$9,RANDBETWEEN(1,8))</f>
        <v>Scarf</v>
      </c>
      <c r="D177" t="str">
        <f ca="1">_xlfn.XLOOKUP(C177,Products!A:A,Products!B:B)</f>
        <v>Accessories</v>
      </c>
      <c r="E177" t="str" cm="1">
        <f t="array" aca="1" ref="E177" ca="1">INDEX(Regions!$A$2:$A$7,RANDBETWEEN(1,6))</f>
        <v>Limerick</v>
      </c>
      <c r="F177">
        <f t="shared" ca="1" si="10"/>
        <v>5</v>
      </c>
      <c r="G177">
        <f ca="1">VLOOKUP(C177,Products!$A$2:$C$9,3,FALSE)</f>
        <v>20</v>
      </c>
      <c r="H177">
        <f t="shared" ca="1" si="11"/>
        <v>100</v>
      </c>
    </row>
    <row r="178" spans="1:8" x14ac:dyDescent="0.35">
      <c r="A178">
        <f t="shared" si="8"/>
        <v>1177</v>
      </c>
      <c r="B178" s="2">
        <f t="shared" ca="1" si="9"/>
        <v>45948</v>
      </c>
      <c r="C178" t="str" cm="1">
        <f t="array" aca="1" ref="C178" ca="1">INDEX(Products!$A$2:$A$9,RANDBETWEEN(1,8))</f>
        <v>Training Top</v>
      </c>
      <c r="D178" t="str">
        <f ca="1">_xlfn.XLOOKUP(C178,Products!A:A,Products!B:B)</f>
        <v>Training Wear</v>
      </c>
      <c r="E178" t="str" cm="1">
        <f t="array" aca="1" ref="E178" ca="1">INDEX(Regions!$A$2:$A$7,RANDBETWEEN(1,6))</f>
        <v>Cork</v>
      </c>
      <c r="F178">
        <f t="shared" ca="1" si="10"/>
        <v>1</v>
      </c>
      <c r="G178">
        <f ca="1">VLOOKUP(C178,Products!$A$2:$C$9,3,FALSE)</f>
        <v>55</v>
      </c>
      <c r="H178">
        <f t="shared" ca="1" si="11"/>
        <v>55</v>
      </c>
    </row>
    <row r="179" spans="1:8" x14ac:dyDescent="0.35">
      <c r="A179">
        <f t="shared" si="8"/>
        <v>1178</v>
      </c>
      <c r="B179" s="2">
        <f t="shared" ca="1" si="9"/>
        <v>45306</v>
      </c>
      <c r="C179" t="str" cm="1">
        <f t="array" aca="1" ref="C179" ca="1">INDEX(Products!$A$2:$A$9,RANDBETWEEN(1,8))</f>
        <v>Football</v>
      </c>
      <c r="D179" t="str">
        <f ca="1">_xlfn.XLOOKUP(C179,Products!A:A,Products!B:B)</f>
        <v>Equipment</v>
      </c>
      <c r="E179" t="str" cm="1">
        <f t="array" aca="1" ref="E179" ca="1">INDEX(Regions!$A$2:$A$7,RANDBETWEEN(1,6))</f>
        <v>Waterford</v>
      </c>
      <c r="F179">
        <f t="shared" ca="1" si="10"/>
        <v>1</v>
      </c>
      <c r="G179">
        <f ca="1">VLOOKUP(C179,Products!$A$2:$C$9,3,FALSE)</f>
        <v>30</v>
      </c>
      <c r="H179">
        <f t="shared" ca="1" si="11"/>
        <v>30</v>
      </c>
    </row>
    <row r="180" spans="1:8" x14ac:dyDescent="0.35">
      <c r="A180">
        <f t="shared" si="8"/>
        <v>1179</v>
      </c>
      <c r="B180" s="2">
        <f t="shared" ca="1" si="9"/>
        <v>45969</v>
      </c>
      <c r="C180" t="str" cm="1">
        <f t="array" aca="1" ref="C180" ca="1">INDEX(Products!$A$2:$A$9,RANDBETWEEN(1,8))</f>
        <v>Football</v>
      </c>
      <c r="D180" t="str">
        <f ca="1">_xlfn.XLOOKUP(C180,Products!A:A,Products!B:B)</f>
        <v>Equipment</v>
      </c>
      <c r="E180" t="str" cm="1">
        <f t="array" aca="1" ref="E180" ca="1">INDEX(Regions!$A$2:$A$7,RANDBETWEEN(1,6))</f>
        <v>Cork</v>
      </c>
      <c r="F180">
        <f t="shared" ca="1" si="10"/>
        <v>2</v>
      </c>
      <c r="G180">
        <f ca="1">VLOOKUP(C180,Products!$A$2:$C$9,3,FALSE)</f>
        <v>30</v>
      </c>
      <c r="H180">
        <f t="shared" ca="1" si="11"/>
        <v>60</v>
      </c>
    </row>
    <row r="181" spans="1:8" x14ac:dyDescent="0.35">
      <c r="A181">
        <f t="shared" si="8"/>
        <v>1180</v>
      </c>
      <c r="B181" s="2">
        <f t="shared" ca="1" si="9"/>
        <v>45591</v>
      </c>
      <c r="C181" t="str" cm="1">
        <f t="array" aca="1" ref="C181" ca="1">INDEX(Products!$A$2:$A$9,RANDBETWEEN(1,8))</f>
        <v>Scarf</v>
      </c>
      <c r="D181" t="str">
        <f ca="1">_xlfn.XLOOKUP(C181,Products!A:A,Products!B:B)</f>
        <v>Accessories</v>
      </c>
      <c r="E181" t="str" cm="1">
        <f t="array" aca="1" ref="E181" ca="1">INDEX(Regions!$A$2:$A$7,RANDBETWEEN(1,6))</f>
        <v>Galway</v>
      </c>
      <c r="F181">
        <f t="shared" ca="1" si="10"/>
        <v>3</v>
      </c>
      <c r="G181">
        <f ca="1">VLOOKUP(C181,Products!$A$2:$C$9,3,FALSE)</f>
        <v>20</v>
      </c>
      <c r="H181">
        <f t="shared" ca="1" si="11"/>
        <v>60</v>
      </c>
    </row>
    <row r="182" spans="1:8" x14ac:dyDescent="0.35">
      <c r="A182">
        <f t="shared" si="8"/>
        <v>1181</v>
      </c>
      <c r="B182" s="2">
        <f t="shared" ca="1" si="9"/>
        <v>45929</v>
      </c>
      <c r="C182" t="str" cm="1">
        <f t="array" aca="1" ref="C182" ca="1">INDEX(Products!$A$2:$A$9,RANDBETWEEN(1,8))</f>
        <v>Hat</v>
      </c>
      <c r="D182" t="str">
        <f ca="1">_xlfn.XLOOKUP(C182,Products!A:A,Products!B:B)</f>
        <v>Accessories</v>
      </c>
      <c r="E182" t="str" cm="1">
        <f t="array" aca="1" ref="E182" ca="1">INDEX(Regions!$A$2:$A$7,RANDBETWEEN(1,6))</f>
        <v>Belfast</v>
      </c>
      <c r="F182">
        <f t="shared" ca="1" si="10"/>
        <v>4</v>
      </c>
      <c r="G182">
        <f ca="1">VLOOKUP(C182,Products!$A$2:$C$9,3,FALSE)</f>
        <v>25</v>
      </c>
      <c r="H182">
        <f t="shared" ca="1" si="11"/>
        <v>100</v>
      </c>
    </row>
    <row r="183" spans="1:8" x14ac:dyDescent="0.35">
      <c r="A183">
        <f t="shared" si="8"/>
        <v>1182</v>
      </c>
      <c r="B183" s="2">
        <f t="shared" ca="1" si="9"/>
        <v>45766</v>
      </c>
      <c r="C183" t="str" cm="1">
        <f t="array" aca="1" ref="C183" ca="1">INDEX(Products!$A$2:$A$9,RANDBETWEEN(1,8))</f>
        <v>Away Jersey</v>
      </c>
      <c r="D183" t="str">
        <f ca="1">_xlfn.XLOOKUP(C183,Products!A:A,Products!B:B)</f>
        <v>Jerseys</v>
      </c>
      <c r="E183" t="str" cm="1">
        <f t="array" aca="1" ref="E183" ca="1">INDEX(Regions!$A$2:$A$7,RANDBETWEEN(1,6))</f>
        <v>Cork</v>
      </c>
      <c r="F183">
        <f t="shared" ca="1" si="10"/>
        <v>2</v>
      </c>
      <c r="G183">
        <f ca="1">VLOOKUP(C183,Products!$A$2:$C$9,3,FALSE)</f>
        <v>80</v>
      </c>
      <c r="H183">
        <f t="shared" ca="1" si="11"/>
        <v>160</v>
      </c>
    </row>
    <row r="184" spans="1:8" x14ac:dyDescent="0.35">
      <c r="A184">
        <f t="shared" si="8"/>
        <v>1183</v>
      </c>
      <c r="B184" s="2">
        <f t="shared" ca="1" si="9"/>
        <v>45400</v>
      </c>
      <c r="C184" t="str" cm="1">
        <f t="array" aca="1" ref="C184" ca="1">INDEX(Products!$A$2:$A$9,RANDBETWEEN(1,8))</f>
        <v>Football</v>
      </c>
      <c r="D184" t="str">
        <f ca="1">_xlfn.XLOOKUP(C184,Products!A:A,Products!B:B)</f>
        <v>Equipment</v>
      </c>
      <c r="E184" t="str" cm="1">
        <f t="array" aca="1" ref="E184" ca="1">INDEX(Regions!$A$2:$A$7,RANDBETWEEN(1,6))</f>
        <v>Dublin</v>
      </c>
      <c r="F184">
        <f t="shared" ca="1" si="10"/>
        <v>3</v>
      </c>
      <c r="G184">
        <f ca="1">VLOOKUP(C184,Products!$A$2:$C$9,3,FALSE)</f>
        <v>30</v>
      </c>
      <c r="H184">
        <f t="shared" ca="1" si="11"/>
        <v>90</v>
      </c>
    </row>
    <row r="185" spans="1:8" x14ac:dyDescent="0.35">
      <c r="A185">
        <f t="shared" si="8"/>
        <v>1184</v>
      </c>
      <c r="B185" s="2">
        <f t="shared" ca="1" si="9"/>
        <v>45420</v>
      </c>
      <c r="C185" t="str" cm="1">
        <f t="array" aca="1" ref="C185" ca="1">INDEX(Products!$A$2:$A$9,RANDBETWEEN(1,8))</f>
        <v>Football</v>
      </c>
      <c r="D185" t="str">
        <f ca="1">_xlfn.XLOOKUP(C185,Products!A:A,Products!B:B)</f>
        <v>Equipment</v>
      </c>
      <c r="E185" t="str" cm="1">
        <f t="array" aca="1" ref="E185" ca="1">INDEX(Regions!$A$2:$A$7,RANDBETWEEN(1,6))</f>
        <v>Waterford</v>
      </c>
      <c r="F185">
        <f t="shared" ca="1" si="10"/>
        <v>3</v>
      </c>
      <c r="G185">
        <f ca="1">VLOOKUP(C185,Products!$A$2:$C$9,3,FALSE)</f>
        <v>30</v>
      </c>
      <c r="H185">
        <f t="shared" ca="1" si="11"/>
        <v>90</v>
      </c>
    </row>
    <row r="186" spans="1:8" x14ac:dyDescent="0.35">
      <c r="A186">
        <f t="shared" si="8"/>
        <v>1185</v>
      </c>
      <c r="B186" s="2">
        <f t="shared" ca="1" si="9"/>
        <v>45670</v>
      </c>
      <c r="C186" t="str" cm="1">
        <f t="array" aca="1" ref="C186" ca="1">INDEX(Products!$A$2:$A$9,RANDBETWEEN(1,8))</f>
        <v>Football</v>
      </c>
      <c r="D186" t="str">
        <f ca="1">_xlfn.XLOOKUP(C186,Products!A:A,Products!B:B)</f>
        <v>Equipment</v>
      </c>
      <c r="E186" t="str" cm="1">
        <f t="array" aca="1" ref="E186" ca="1">INDEX(Regions!$A$2:$A$7,RANDBETWEEN(1,6))</f>
        <v>Galway</v>
      </c>
      <c r="F186">
        <f t="shared" ca="1" si="10"/>
        <v>5</v>
      </c>
      <c r="G186">
        <f ca="1">VLOOKUP(C186,Products!$A$2:$C$9,3,FALSE)</f>
        <v>30</v>
      </c>
      <c r="H186">
        <f t="shared" ca="1" si="11"/>
        <v>150</v>
      </c>
    </row>
    <row r="187" spans="1:8" x14ac:dyDescent="0.35">
      <c r="A187">
        <f t="shared" si="8"/>
        <v>1186</v>
      </c>
      <c r="B187" s="2">
        <f t="shared" ca="1" si="9"/>
        <v>45939</v>
      </c>
      <c r="C187" t="str" cm="1">
        <f t="array" aca="1" ref="C187" ca="1">INDEX(Products!$A$2:$A$9,RANDBETWEEN(1,8))</f>
        <v>Third Jersey</v>
      </c>
      <c r="D187" t="str">
        <f ca="1">_xlfn.XLOOKUP(C187,Products!A:A,Products!B:B)</f>
        <v>Jerseys</v>
      </c>
      <c r="E187" t="str" cm="1">
        <f t="array" aca="1" ref="E187" ca="1">INDEX(Regions!$A$2:$A$7,RANDBETWEEN(1,6))</f>
        <v>Dublin</v>
      </c>
      <c r="F187">
        <f t="shared" ca="1" si="10"/>
        <v>5</v>
      </c>
      <c r="G187">
        <f ca="1">VLOOKUP(C187,Products!$A$2:$C$9,3,FALSE)</f>
        <v>85</v>
      </c>
      <c r="H187">
        <f t="shared" ca="1" si="11"/>
        <v>425</v>
      </c>
    </row>
    <row r="188" spans="1:8" x14ac:dyDescent="0.35">
      <c r="A188">
        <f t="shared" si="8"/>
        <v>1187</v>
      </c>
      <c r="B188" s="2">
        <f t="shared" ca="1" si="9"/>
        <v>45548</v>
      </c>
      <c r="C188" t="str" cm="1">
        <f t="array" aca="1" ref="C188" ca="1">INDEX(Products!$A$2:$A$9,RANDBETWEEN(1,8))</f>
        <v>Scarf</v>
      </c>
      <c r="D188" t="str">
        <f ca="1">_xlfn.XLOOKUP(C188,Products!A:A,Products!B:B)</f>
        <v>Accessories</v>
      </c>
      <c r="E188" t="str" cm="1">
        <f t="array" aca="1" ref="E188" ca="1">INDEX(Regions!$A$2:$A$7,RANDBETWEEN(1,6))</f>
        <v>Belfast</v>
      </c>
      <c r="F188">
        <f t="shared" ca="1" si="10"/>
        <v>5</v>
      </c>
      <c r="G188">
        <f ca="1">VLOOKUP(C188,Products!$A$2:$C$9,3,FALSE)</f>
        <v>20</v>
      </c>
      <c r="H188">
        <f t="shared" ca="1" si="11"/>
        <v>100</v>
      </c>
    </row>
    <row r="189" spans="1:8" x14ac:dyDescent="0.35">
      <c r="A189">
        <f t="shared" si="8"/>
        <v>1188</v>
      </c>
      <c r="B189" s="2">
        <f t="shared" ca="1" si="9"/>
        <v>45618</v>
      </c>
      <c r="C189" t="str" cm="1">
        <f t="array" aca="1" ref="C189" ca="1">INDEX(Products!$A$2:$A$9,RANDBETWEEN(1,8))</f>
        <v>Hat</v>
      </c>
      <c r="D189" t="str">
        <f ca="1">_xlfn.XLOOKUP(C189,Products!A:A,Products!B:B)</f>
        <v>Accessories</v>
      </c>
      <c r="E189" t="str" cm="1">
        <f t="array" aca="1" ref="E189" ca="1">INDEX(Regions!$A$2:$A$7,RANDBETWEEN(1,6))</f>
        <v>Belfast</v>
      </c>
      <c r="F189">
        <f t="shared" ca="1" si="10"/>
        <v>4</v>
      </c>
      <c r="G189">
        <f ca="1">VLOOKUP(C189,Products!$A$2:$C$9,3,FALSE)</f>
        <v>25</v>
      </c>
      <c r="H189">
        <f t="shared" ca="1" si="11"/>
        <v>100</v>
      </c>
    </row>
    <row r="190" spans="1:8" x14ac:dyDescent="0.35">
      <c r="A190">
        <f t="shared" si="8"/>
        <v>1189</v>
      </c>
      <c r="B190" s="2">
        <f t="shared" ca="1" si="9"/>
        <v>45602</v>
      </c>
      <c r="C190" t="str" cm="1">
        <f t="array" aca="1" ref="C190" ca="1">INDEX(Products!$A$2:$A$9,RANDBETWEEN(1,8))</f>
        <v>Training Top</v>
      </c>
      <c r="D190" t="str">
        <f ca="1">_xlfn.XLOOKUP(C190,Products!A:A,Products!B:B)</f>
        <v>Training Wear</v>
      </c>
      <c r="E190" t="str" cm="1">
        <f t="array" aca="1" ref="E190" ca="1">INDEX(Regions!$A$2:$A$7,RANDBETWEEN(1,6))</f>
        <v>Waterford</v>
      </c>
      <c r="F190">
        <f t="shared" ca="1" si="10"/>
        <v>3</v>
      </c>
      <c r="G190">
        <f ca="1">VLOOKUP(C190,Products!$A$2:$C$9,3,FALSE)</f>
        <v>55</v>
      </c>
      <c r="H190">
        <f t="shared" ca="1" si="11"/>
        <v>165</v>
      </c>
    </row>
    <row r="191" spans="1:8" x14ac:dyDescent="0.35">
      <c r="A191">
        <f t="shared" si="8"/>
        <v>1190</v>
      </c>
      <c r="B191" s="2">
        <f t="shared" ca="1" si="9"/>
        <v>45650</v>
      </c>
      <c r="C191" t="str" cm="1">
        <f t="array" aca="1" ref="C191" ca="1">INDEX(Products!$A$2:$A$9,RANDBETWEEN(1,8))</f>
        <v>Third Jersey</v>
      </c>
      <c r="D191" t="str">
        <f ca="1">_xlfn.XLOOKUP(C191,Products!A:A,Products!B:B)</f>
        <v>Jerseys</v>
      </c>
      <c r="E191" t="str" cm="1">
        <f t="array" aca="1" ref="E191" ca="1">INDEX(Regions!$A$2:$A$7,RANDBETWEEN(1,6))</f>
        <v>Limerick</v>
      </c>
      <c r="F191">
        <f t="shared" ca="1" si="10"/>
        <v>5</v>
      </c>
      <c r="G191">
        <f ca="1">VLOOKUP(C191,Products!$A$2:$C$9,3,FALSE)</f>
        <v>85</v>
      </c>
      <c r="H191">
        <f t="shared" ca="1" si="11"/>
        <v>425</v>
      </c>
    </row>
    <row r="192" spans="1:8" x14ac:dyDescent="0.35">
      <c r="A192">
        <f t="shared" si="8"/>
        <v>1191</v>
      </c>
      <c r="B192" s="2">
        <f t="shared" ca="1" si="9"/>
        <v>46007</v>
      </c>
      <c r="C192" t="str" cm="1">
        <f t="array" aca="1" ref="C192" ca="1">INDEX(Products!$A$2:$A$9,RANDBETWEEN(1,8))</f>
        <v>Third Jersey</v>
      </c>
      <c r="D192" t="str">
        <f ca="1">_xlfn.XLOOKUP(C192,Products!A:A,Products!B:B)</f>
        <v>Jerseys</v>
      </c>
      <c r="E192" t="str" cm="1">
        <f t="array" aca="1" ref="E192" ca="1">INDEX(Regions!$A$2:$A$7,RANDBETWEEN(1,6))</f>
        <v>Belfast</v>
      </c>
      <c r="F192">
        <f t="shared" ca="1" si="10"/>
        <v>5</v>
      </c>
      <c r="G192">
        <f ca="1">VLOOKUP(C192,Products!$A$2:$C$9,3,FALSE)</f>
        <v>85</v>
      </c>
      <c r="H192">
        <f t="shared" ca="1" si="11"/>
        <v>425</v>
      </c>
    </row>
    <row r="193" spans="1:8" x14ac:dyDescent="0.35">
      <c r="A193">
        <f t="shared" si="8"/>
        <v>1192</v>
      </c>
      <c r="B193" s="2">
        <f t="shared" ca="1" si="9"/>
        <v>45563</v>
      </c>
      <c r="C193" t="str" cm="1">
        <f t="array" aca="1" ref="C193" ca="1">INDEX(Products!$A$2:$A$9,RANDBETWEEN(1,8))</f>
        <v>Football</v>
      </c>
      <c r="D193" t="str">
        <f ca="1">_xlfn.XLOOKUP(C193,Products!A:A,Products!B:B)</f>
        <v>Equipment</v>
      </c>
      <c r="E193" t="str" cm="1">
        <f t="array" aca="1" ref="E193" ca="1">INDEX(Regions!$A$2:$A$7,RANDBETWEEN(1,6))</f>
        <v>Limerick</v>
      </c>
      <c r="F193">
        <f t="shared" ca="1" si="10"/>
        <v>4</v>
      </c>
      <c r="G193">
        <f ca="1">VLOOKUP(C193,Products!$A$2:$C$9,3,FALSE)</f>
        <v>30</v>
      </c>
      <c r="H193">
        <f t="shared" ca="1" si="11"/>
        <v>120</v>
      </c>
    </row>
    <row r="194" spans="1:8" x14ac:dyDescent="0.35">
      <c r="A194">
        <f t="shared" si="8"/>
        <v>1193</v>
      </c>
      <c r="B194" s="2">
        <f t="shared" ca="1" si="9"/>
        <v>45348</v>
      </c>
      <c r="C194" t="str" cm="1">
        <f t="array" aca="1" ref="C194" ca="1">INDEX(Products!$A$2:$A$9,RANDBETWEEN(1,8))</f>
        <v>Training Top</v>
      </c>
      <c r="D194" t="str">
        <f ca="1">_xlfn.XLOOKUP(C194,Products!A:A,Products!B:B)</f>
        <v>Training Wear</v>
      </c>
      <c r="E194" t="str" cm="1">
        <f t="array" aca="1" ref="E194" ca="1">INDEX(Regions!$A$2:$A$7,RANDBETWEEN(1,6))</f>
        <v>Belfast</v>
      </c>
      <c r="F194">
        <f t="shared" ca="1" si="10"/>
        <v>2</v>
      </c>
      <c r="G194">
        <f ca="1">VLOOKUP(C194,Products!$A$2:$C$9,3,FALSE)</f>
        <v>55</v>
      </c>
      <c r="H194">
        <f t="shared" ca="1" si="11"/>
        <v>110</v>
      </c>
    </row>
    <row r="195" spans="1:8" x14ac:dyDescent="0.35">
      <c r="A195">
        <f t="shared" ref="A195:A258" si="12">ROW()+999</f>
        <v>1194</v>
      </c>
      <c r="B195" s="2">
        <f t="shared" ref="B195:B258" ca="1" si="13">DATE(2024,1,1)+RANDBETWEEN(0,730)</f>
        <v>45537</v>
      </c>
      <c r="C195" t="str" cm="1">
        <f t="array" aca="1" ref="C195" ca="1">INDEX(Products!$A$2:$A$9,RANDBETWEEN(1,8))</f>
        <v>Scarf</v>
      </c>
      <c r="D195" t="str">
        <f ca="1">_xlfn.XLOOKUP(C195,Products!A:A,Products!B:B)</f>
        <v>Accessories</v>
      </c>
      <c r="E195" t="str" cm="1">
        <f t="array" aca="1" ref="E195" ca="1">INDEX(Regions!$A$2:$A$7,RANDBETWEEN(1,6))</f>
        <v>Waterford</v>
      </c>
      <c r="F195">
        <f t="shared" ref="F195:F258" ca="1" si="14">RANDBETWEEN(1,5)</f>
        <v>2</v>
      </c>
      <c r="G195">
        <f ca="1">VLOOKUP(C195,Products!$A$2:$C$9,3,FALSE)</f>
        <v>20</v>
      </c>
      <c r="H195">
        <f t="shared" ref="H195:H258" ca="1" si="15">F195*G195</f>
        <v>40</v>
      </c>
    </row>
    <row r="196" spans="1:8" x14ac:dyDescent="0.35">
      <c r="A196">
        <f t="shared" si="12"/>
        <v>1195</v>
      </c>
      <c r="B196" s="2">
        <f t="shared" ca="1" si="13"/>
        <v>45362</v>
      </c>
      <c r="C196" t="str" cm="1">
        <f t="array" aca="1" ref="C196" ca="1">INDEX(Products!$A$2:$A$9,RANDBETWEEN(1,8))</f>
        <v>Scarf</v>
      </c>
      <c r="D196" t="str">
        <f ca="1">_xlfn.XLOOKUP(C196,Products!A:A,Products!B:B)</f>
        <v>Accessories</v>
      </c>
      <c r="E196" t="str" cm="1">
        <f t="array" aca="1" ref="E196" ca="1">INDEX(Regions!$A$2:$A$7,RANDBETWEEN(1,6))</f>
        <v>Waterford</v>
      </c>
      <c r="F196">
        <f t="shared" ca="1" si="14"/>
        <v>1</v>
      </c>
      <c r="G196">
        <f ca="1">VLOOKUP(C196,Products!$A$2:$C$9,3,FALSE)</f>
        <v>20</v>
      </c>
      <c r="H196">
        <f t="shared" ca="1" si="15"/>
        <v>20</v>
      </c>
    </row>
    <row r="197" spans="1:8" x14ac:dyDescent="0.35">
      <c r="A197">
        <f t="shared" si="12"/>
        <v>1196</v>
      </c>
      <c r="B197" s="2">
        <f t="shared" ca="1" si="13"/>
        <v>45528</v>
      </c>
      <c r="C197" t="str" cm="1">
        <f t="array" aca="1" ref="C197" ca="1">INDEX(Products!$A$2:$A$9,RANDBETWEEN(1,8))</f>
        <v>Third Jersey</v>
      </c>
      <c r="D197" t="str">
        <f ca="1">_xlfn.XLOOKUP(C197,Products!A:A,Products!B:B)</f>
        <v>Jerseys</v>
      </c>
      <c r="E197" t="str" cm="1">
        <f t="array" aca="1" ref="E197" ca="1">INDEX(Regions!$A$2:$A$7,RANDBETWEEN(1,6))</f>
        <v>Belfast</v>
      </c>
      <c r="F197">
        <f t="shared" ca="1" si="14"/>
        <v>2</v>
      </c>
      <c r="G197">
        <f ca="1">VLOOKUP(C197,Products!$A$2:$C$9,3,FALSE)</f>
        <v>85</v>
      </c>
      <c r="H197">
        <f t="shared" ca="1" si="15"/>
        <v>170</v>
      </c>
    </row>
    <row r="198" spans="1:8" x14ac:dyDescent="0.35">
      <c r="A198">
        <f t="shared" si="12"/>
        <v>1197</v>
      </c>
      <c r="B198" s="2">
        <f t="shared" ca="1" si="13"/>
        <v>45311</v>
      </c>
      <c r="C198" t="str" cm="1">
        <f t="array" aca="1" ref="C198" ca="1">INDEX(Products!$A$2:$A$9,RANDBETWEEN(1,8))</f>
        <v>Away Jersey</v>
      </c>
      <c r="D198" t="str">
        <f ca="1">_xlfn.XLOOKUP(C198,Products!A:A,Products!B:B)</f>
        <v>Jerseys</v>
      </c>
      <c r="E198" t="str" cm="1">
        <f t="array" aca="1" ref="E198" ca="1">INDEX(Regions!$A$2:$A$7,RANDBETWEEN(1,6))</f>
        <v>Limerick</v>
      </c>
      <c r="F198">
        <f t="shared" ca="1" si="14"/>
        <v>1</v>
      </c>
      <c r="G198">
        <f ca="1">VLOOKUP(C198,Products!$A$2:$C$9,3,FALSE)</f>
        <v>80</v>
      </c>
      <c r="H198">
        <f t="shared" ca="1" si="15"/>
        <v>80</v>
      </c>
    </row>
    <row r="199" spans="1:8" x14ac:dyDescent="0.35">
      <c r="A199">
        <f t="shared" si="12"/>
        <v>1198</v>
      </c>
      <c r="B199" s="2">
        <f t="shared" ca="1" si="13"/>
        <v>45979</v>
      </c>
      <c r="C199" t="str" cm="1">
        <f t="array" aca="1" ref="C199" ca="1">INDEX(Products!$A$2:$A$9,RANDBETWEEN(1,8))</f>
        <v>Jacket</v>
      </c>
      <c r="D199" t="str">
        <f ca="1">_xlfn.XLOOKUP(C199,Products!A:A,Products!B:B)</f>
        <v>Training Wear</v>
      </c>
      <c r="E199" t="str" cm="1">
        <f t="array" aca="1" ref="E199" ca="1">INDEX(Regions!$A$2:$A$7,RANDBETWEEN(1,6))</f>
        <v>Belfast</v>
      </c>
      <c r="F199">
        <f t="shared" ca="1" si="14"/>
        <v>4</v>
      </c>
      <c r="G199">
        <f ca="1">VLOOKUP(C199,Products!$A$2:$C$9,3,FALSE)</f>
        <v>90</v>
      </c>
      <c r="H199">
        <f t="shared" ca="1" si="15"/>
        <v>360</v>
      </c>
    </row>
    <row r="200" spans="1:8" x14ac:dyDescent="0.35">
      <c r="A200">
        <f t="shared" si="12"/>
        <v>1199</v>
      </c>
      <c r="B200" s="2">
        <f t="shared" ca="1" si="13"/>
        <v>45463</v>
      </c>
      <c r="C200" t="str" cm="1">
        <f t="array" aca="1" ref="C200" ca="1">INDEX(Products!$A$2:$A$9,RANDBETWEEN(1,8))</f>
        <v>Hat</v>
      </c>
      <c r="D200" t="str">
        <f ca="1">_xlfn.XLOOKUP(C200,Products!A:A,Products!B:B)</f>
        <v>Accessories</v>
      </c>
      <c r="E200" t="str" cm="1">
        <f t="array" aca="1" ref="E200" ca="1">INDEX(Regions!$A$2:$A$7,RANDBETWEEN(1,6))</f>
        <v>Limerick</v>
      </c>
      <c r="F200">
        <f t="shared" ca="1" si="14"/>
        <v>1</v>
      </c>
      <c r="G200">
        <f ca="1">VLOOKUP(C200,Products!$A$2:$C$9,3,FALSE)</f>
        <v>25</v>
      </c>
      <c r="H200">
        <f t="shared" ca="1" si="15"/>
        <v>25</v>
      </c>
    </row>
    <row r="201" spans="1:8" x14ac:dyDescent="0.35">
      <c r="A201">
        <f t="shared" si="12"/>
        <v>1200</v>
      </c>
      <c r="B201" s="2">
        <f t="shared" ca="1" si="13"/>
        <v>46001</v>
      </c>
      <c r="C201" t="str" cm="1">
        <f t="array" aca="1" ref="C201" ca="1">INDEX(Products!$A$2:$A$9,RANDBETWEEN(1,8))</f>
        <v>Hat</v>
      </c>
      <c r="D201" t="str">
        <f ca="1">_xlfn.XLOOKUP(C201,Products!A:A,Products!B:B)</f>
        <v>Accessories</v>
      </c>
      <c r="E201" t="str" cm="1">
        <f t="array" aca="1" ref="E201" ca="1">INDEX(Regions!$A$2:$A$7,RANDBETWEEN(1,6))</f>
        <v>Dublin</v>
      </c>
      <c r="F201">
        <f t="shared" ca="1" si="14"/>
        <v>2</v>
      </c>
      <c r="G201">
        <f ca="1">VLOOKUP(C201,Products!$A$2:$C$9,3,FALSE)</f>
        <v>25</v>
      </c>
      <c r="H201">
        <f t="shared" ca="1" si="15"/>
        <v>50</v>
      </c>
    </row>
    <row r="202" spans="1:8" x14ac:dyDescent="0.35">
      <c r="A202">
        <f t="shared" si="12"/>
        <v>1201</v>
      </c>
      <c r="B202" s="2">
        <f t="shared" ca="1" si="13"/>
        <v>45524</v>
      </c>
      <c r="C202" t="str" cm="1">
        <f t="array" aca="1" ref="C202" ca="1">INDEX(Products!$A$2:$A$9,RANDBETWEEN(1,8))</f>
        <v>Hat</v>
      </c>
      <c r="D202" t="str">
        <f ca="1">_xlfn.XLOOKUP(C202,Products!A:A,Products!B:B)</f>
        <v>Accessories</v>
      </c>
      <c r="E202" t="str" cm="1">
        <f t="array" aca="1" ref="E202" ca="1">INDEX(Regions!$A$2:$A$7,RANDBETWEEN(1,6))</f>
        <v>Galway</v>
      </c>
      <c r="F202">
        <f t="shared" ca="1" si="14"/>
        <v>5</v>
      </c>
      <c r="G202">
        <f ca="1">VLOOKUP(C202,Products!$A$2:$C$9,3,FALSE)</f>
        <v>25</v>
      </c>
      <c r="H202">
        <f t="shared" ca="1" si="15"/>
        <v>125</v>
      </c>
    </row>
    <row r="203" spans="1:8" x14ac:dyDescent="0.35">
      <c r="A203">
        <f t="shared" si="12"/>
        <v>1202</v>
      </c>
      <c r="B203" s="2">
        <f t="shared" ca="1" si="13"/>
        <v>45610</v>
      </c>
      <c r="C203" t="str" cm="1">
        <f t="array" aca="1" ref="C203" ca="1">INDEX(Products!$A$2:$A$9,RANDBETWEEN(1,8))</f>
        <v>Hat</v>
      </c>
      <c r="D203" t="str">
        <f ca="1">_xlfn.XLOOKUP(C203,Products!A:A,Products!B:B)</f>
        <v>Accessories</v>
      </c>
      <c r="E203" t="str" cm="1">
        <f t="array" aca="1" ref="E203" ca="1">INDEX(Regions!$A$2:$A$7,RANDBETWEEN(1,6))</f>
        <v>Limerick</v>
      </c>
      <c r="F203">
        <f t="shared" ca="1" si="14"/>
        <v>4</v>
      </c>
      <c r="G203">
        <f ca="1">VLOOKUP(C203,Products!$A$2:$C$9,3,FALSE)</f>
        <v>25</v>
      </c>
      <c r="H203">
        <f t="shared" ca="1" si="15"/>
        <v>100</v>
      </c>
    </row>
    <row r="204" spans="1:8" x14ac:dyDescent="0.35">
      <c r="A204">
        <f t="shared" si="12"/>
        <v>1203</v>
      </c>
      <c r="B204" s="2">
        <f t="shared" ca="1" si="13"/>
        <v>45862</v>
      </c>
      <c r="C204" t="str" cm="1">
        <f t="array" aca="1" ref="C204" ca="1">INDEX(Products!$A$2:$A$9,RANDBETWEEN(1,8))</f>
        <v>Jacket</v>
      </c>
      <c r="D204" t="str">
        <f ca="1">_xlfn.XLOOKUP(C204,Products!A:A,Products!B:B)</f>
        <v>Training Wear</v>
      </c>
      <c r="E204" t="str" cm="1">
        <f t="array" aca="1" ref="E204" ca="1">INDEX(Regions!$A$2:$A$7,RANDBETWEEN(1,6))</f>
        <v>Dublin</v>
      </c>
      <c r="F204">
        <f t="shared" ca="1" si="14"/>
        <v>1</v>
      </c>
      <c r="G204">
        <f ca="1">VLOOKUP(C204,Products!$A$2:$C$9,3,FALSE)</f>
        <v>90</v>
      </c>
      <c r="H204">
        <f t="shared" ca="1" si="15"/>
        <v>90</v>
      </c>
    </row>
    <row r="205" spans="1:8" x14ac:dyDescent="0.35">
      <c r="A205">
        <f t="shared" si="12"/>
        <v>1204</v>
      </c>
      <c r="B205" s="2">
        <f t="shared" ca="1" si="13"/>
        <v>45725</v>
      </c>
      <c r="C205" t="str" cm="1">
        <f t="array" aca="1" ref="C205" ca="1">INDEX(Products!$A$2:$A$9,RANDBETWEEN(1,8))</f>
        <v>Home Jersey</v>
      </c>
      <c r="D205" t="str">
        <f ca="1">_xlfn.XLOOKUP(C205,Products!A:A,Products!B:B)</f>
        <v>Jerseys</v>
      </c>
      <c r="E205" t="str" cm="1">
        <f t="array" aca="1" ref="E205" ca="1">INDEX(Regions!$A$2:$A$7,RANDBETWEEN(1,6))</f>
        <v>Waterford</v>
      </c>
      <c r="F205">
        <f t="shared" ca="1" si="14"/>
        <v>5</v>
      </c>
      <c r="G205">
        <f ca="1">VLOOKUP(C205,Products!$A$2:$C$9,3,FALSE)</f>
        <v>80</v>
      </c>
      <c r="H205">
        <f t="shared" ca="1" si="15"/>
        <v>400</v>
      </c>
    </row>
    <row r="206" spans="1:8" x14ac:dyDescent="0.35">
      <c r="A206">
        <f t="shared" si="12"/>
        <v>1205</v>
      </c>
      <c r="B206" s="2">
        <f t="shared" ca="1" si="13"/>
        <v>45548</v>
      </c>
      <c r="C206" t="str" cm="1">
        <f t="array" aca="1" ref="C206" ca="1">INDEX(Products!$A$2:$A$9,RANDBETWEEN(1,8))</f>
        <v>Jacket</v>
      </c>
      <c r="D206" t="str">
        <f ca="1">_xlfn.XLOOKUP(C206,Products!A:A,Products!B:B)</f>
        <v>Training Wear</v>
      </c>
      <c r="E206" t="str" cm="1">
        <f t="array" aca="1" ref="E206" ca="1">INDEX(Regions!$A$2:$A$7,RANDBETWEEN(1,6))</f>
        <v>Galway</v>
      </c>
      <c r="F206">
        <f t="shared" ca="1" si="14"/>
        <v>1</v>
      </c>
      <c r="G206">
        <f ca="1">VLOOKUP(C206,Products!$A$2:$C$9,3,FALSE)</f>
        <v>90</v>
      </c>
      <c r="H206">
        <f t="shared" ca="1" si="15"/>
        <v>90</v>
      </c>
    </row>
    <row r="207" spans="1:8" x14ac:dyDescent="0.35">
      <c r="A207">
        <f t="shared" si="12"/>
        <v>1206</v>
      </c>
      <c r="B207" s="2">
        <f t="shared" ca="1" si="13"/>
        <v>45885</v>
      </c>
      <c r="C207" t="str" cm="1">
        <f t="array" aca="1" ref="C207" ca="1">INDEX(Products!$A$2:$A$9,RANDBETWEEN(1,8))</f>
        <v>Third Jersey</v>
      </c>
      <c r="D207" t="str">
        <f ca="1">_xlfn.XLOOKUP(C207,Products!A:A,Products!B:B)</f>
        <v>Jerseys</v>
      </c>
      <c r="E207" t="str" cm="1">
        <f t="array" aca="1" ref="E207" ca="1">INDEX(Regions!$A$2:$A$7,RANDBETWEEN(1,6))</f>
        <v>Waterford</v>
      </c>
      <c r="F207">
        <f t="shared" ca="1" si="14"/>
        <v>4</v>
      </c>
      <c r="G207">
        <f ca="1">VLOOKUP(C207,Products!$A$2:$C$9,3,FALSE)</f>
        <v>85</v>
      </c>
      <c r="H207">
        <f t="shared" ca="1" si="15"/>
        <v>340</v>
      </c>
    </row>
    <row r="208" spans="1:8" x14ac:dyDescent="0.35">
      <c r="A208">
        <f t="shared" si="12"/>
        <v>1207</v>
      </c>
      <c r="B208" s="2">
        <f t="shared" ca="1" si="13"/>
        <v>45304</v>
      </c>
      <c r="C208" t="str" cm="1">
        <f t="array" aca="1" ref="C208" ca="1">INDEX(Products!$A$2:$A$9,RANDBETWEEN(1,8))</f>
        <v>Jacket</v>
      </c>
      <c r="D208" t="str">
        <f ca="1">_xlfn.XLOOKUP(C208,Products!A:A,Products!B:B)</f>
        <v>Training Wear</v>
      </c>
      <c r="E208" t="str" cm="1">
        <f t="array" aca="1" ref="E208" ca="1">INDEX(Regions!$A$2:$A$7,RANDBETWEEN(1,6))</f>
        <v>Limerick</v>
      </c>
      <c r="F208">
        <f t="shared" ca="1" si="14"/>
        <v>2</v>
      </c>
      <c r="G208">
        <f ca="1">VLOOKUP(C208,Products!$A$2:$C$9,3,FALSE)</f>
        <v>90</v>
      </c>
      <c r="H208">
        <f t="shared" ca="1" si="15"/>
        <v>180</v>
      </c>
    </row>
    <row r="209" spans="1:8" x14ac:dyDescent="0.35">
      <c r="A209">
        <f t="shared" si="12"/>
        <v>1208</v>
      </c>
      <c r="B209" s="2">
        <f t="shared" ca="1" si="13"/>
        <v>45592</v>
      </c>
      <c r="C209" t="str" cm="1">
        <f t="array" aca="1" ref="C209" ca="1">INDEX(Products!$A$2:$A$9,RANDBETWEEN(1,8))</f>
        <v>Away Jersey</v>
      </c>
      <c r="D209" t="str">
        <f ca="1">_xlfn.XLOOKUP(C209,Products!A:A,Products!B:B)</f>
        <v>Jerseys</v>
      </c>
      <c r="E209" t="str" cm="1">
        <f t="array" aca="1" ref="E209" ca="1">INDEX(Regions!$A$2:$A$7,RANDBETWEEN(1,6))</f>
        <v>Dublin</v>
      </c>
      <c r="F209">
        <f t="shared" ca="1" si="14"/>
        <v>3</v>
      </c>
      <c r="G209">
        <f ca="1">VLOOKUP(C209,Products!$A$2:$C$9,3,FALSE)</f>
        <v>80</v>
      </c>
      <c r="H209">
        <f t="shared" ca="1" si="15"/>
        <v>240</v>
      </c>
    </row>
    <row r="210" spans="1:8" x14ac:dyDescent="0.35">
      <c r="A210">
        <f t="shared" si="12"/>
        <v>1209</v>
      </c>
      <c r="B210" s="2">
        <f t="shared" ca="1" si="13"/>
        <v>45884</v>
      </c>
      <c r="C210" t="str" cm="1">
        <f t="array" aca="1" ref="C210" ca="1">INDEX(Products!$A$2:$A$9,RANDBETWEEN(1,8))</f>
        <v>Training Top</v>
      </c>
      <c r="D210" t="str">
        <f ca="1">_xlfn.XLOOKUP(C210,Products!A:A,Products!B:B)</f>
        <v>Training Wear</v>
      </c>
      <c r="E210" t="str" cm="1">
        <f t="array" aca="1" ref="E210" ca="1">INDEX(Regions!$A$2:$A$7,RANDBETWEEN(1,6))</f>
        <v>Dublin</v>
      </c>
      <c r="F210">
        <f t="shared" ca="1" si="14"/>
        <v>2</v>
      </c>
      <c r="G210">
        <f ca="1">VLOOKUP(C210,Products!$A$2:$C$9,3,FALSE)</f>
        <v>55</v>
      </c>
      <c r="H210">
        <f t="shared" ca="1" si="15"/>
        <v>110</v>
      </c>
    </row>
    <row r="211" spans="1:8" x14ac:dyDescent="0.35">
      <c r="A211">
        <f t="shared" si="12"/>
        <v>1210</v>
      </c>
      <c r="B211" s="2">
        <f t="shared" ca="1" si="13"/>
        <v>45725</v>
      </c>
      <c r="C211" t="str" cm="1">
        <f t="array" aca="1" ref="C211" ca="1">INDEX(Products!$A$2:$A$9,RANDBETWEEN(1,8))</f>
        <v>Away Jersey</v>
      </c>
      <c r="D211" t="str">
        <f ca="1">_xlfn.XLOOKUP(C211,Products!A:A,Products!B:B)</f>
        <v>Jerseys</v>
      </c>
      <c r="E211" t="str" cm="1">
        <f t="array" aca="1" ref="E211" ca="1">INDEX(Regions!$A$2:$A$7,RANDBETWEEN(1,6))</f>
        <v>Galway</v>
      </c>
      <c r="F211">
        <f t="shared" ca="1" si="14"/>
        <v>1</v>
      </c>
      <c r="G211">
        <f ca="1">VLOOKUP(C211,Products!$A$2:$C$9,3,FALSE)</f>
        <v>80</v>
      </c>
      <c r="H211">
        <f t="shared" ca="1" si="15"/>
        <v>80</v>
      </c>
    </row>
    <row r="212" spans="1:8" x14ac:dyDescent="0.35">
      <c r="A212">
        <f t="shared" si="12"/>
        <v>1211</v>
      </c>
      <c r="B212" s="2">
        <f t="shared" ca="1" si="13"/>
        <v>45381</v>
      </c>
      <c r="C212" t="str" cm="1">
        <f t="array" aca="1" ref="C212" ca="1">INDEX(Products!$A$2:$A$9,RANDBETWEEN(1,8))</f>
        <v>Home Jersey</v>
      </c>
      <c r="D212" t="str">
        <f ca="1">_xlfn.XLOOKUP(C212,Products!A:A,Products!B:B)</f>
        <v>Jerseys</v>
      </c>
      <c r="E212" t="str" cm="1">
        <f t="array" aca="1" ref="E212" ca="1">INDEX(Regions!$A$2:$A$7,RANDBETWEEN(1,6))</f>
        <v>Dublin</v>
      </c>
      <c r="F212">
        <f t="shared" ca="1" si="14"/>
        <v>2</v>
      </c>
      <c r="G212">
        <f ca="1">VLOOKUP(C212,Products!$A$2:$C$9,3,FALSE)</f>
        <v>80</v>
      </c>
      <c r="H212">
        <f t="shared" ca="1" si="15"/>
        <v>160</v>
      </c>
    </row>
    <row r="213" spans="1:8" x14ac:dyDescent="0.35">
      <c r="A213">
        <f t="shared" si="12"/>
        <v>1212</v>
      </c>
      <c r="B213" s="2">
        <f t="shared" ca="1" si="13"/>
        <v>45384</v>
      </c>
      <c r="C213" t="str" cm="1">
        <f t="array" aca="1" ref="C213" ca="1">INDEX(Products!$A$2:$A$9,RANDBETWEEN(1,8))</f>
        <v>Away Jersey</v>
      </c>
      <c r="D213" t="str">
        <f ca="1">_xlfn.XLOOKUP(C213,Products!A:A,Products!B:B)</f>
        <v>Jerseys</v>
      </c>
      <c r="E213" t="str" cm="1">
        <f t="array" aca="1" ref="E213" ca="1">INDEX(Regions!$A$2:$A$7,RANDBETWEEN(1,6))</f>
        <v>Belfast</v>
      </c>
      <c r="F213">
        <f t="shared" ca="1" si="14"/>
        <v>4</v>
      </c>
      <c r="G213">
        <f ca="1">VLOOKUP(C213,Products!$A$2:$C$9,3,FALSE)</f>
        <v>80</v>
      </c>
      <c r="H213">
        <f t="shared" ca="1" si="15"/>
        <v>320</v>
      </c>
    </row>
    <row r="214" spans="1:8" x14ac:dyDescent="0.35">
      <c r="A214">
        <f t="shared" si="12"/>
        <v>1213</v>
      </c>
      <c r="B214" s="2">
        <f t="shared" ca="1" si="13"/>
        <v>45691</v>
      </c>
      <c r="C214" t="str" cm="1">
        <f t="array" aca="1" ref="C214" ca="1">INDEX(Products!$A$2:$A$9,RANDBETWEEN(1,8))</f>
        <v>Football</v>
      </c>
      <c r="D214" t="str">
        <f ca="1">_xlfn.XLOOKUP(C214,Products!A:A,Products!B:B)</f>
        <v>Equipment</v>
      </c>
      <c r="E214" t="str" cm="1">
        <f t="array" aca="1" ref="E214" ca="1">INDEX(Regions!$A$2:$A$7,RANDBETWEEN(1,6))</f>
        <v>Belfast</v>
      </c>
      <c r="F214">
        <f t="shared" ca="1" si="14"/>
        <v>2</v>
      </c>
      <c r="G214">
        <f ca="1">VLOOKUP(C214,Products!$A$2:$C$9,3,FALSE)</f>
        <v>30</v>
      </c>
      <c r="H214">
        <f t="shared" ca="1" si="15"/>
        <v>60</v>
      </c>
    </row>
    <row r="215" spans="1:8" x14ac:dyDescent="0.35">
      <c r="A215">
        <f t="shared" si="12"/>
        <v>1214</v>
      </c>
      <c r="B215" s="2">
        <f t="shared" ca="1" si="13"/>
        <v>45449</v>
      </c>
      <c r="C215" t="str" cm="1">
        <f t="array" aca="1" ref="C215" ca="1">INDEX(Products!$A$2:$A$9,RANDBETWEEN(1,8))</f>
        <v>Training Top</v>
      </c>
      <c r="D215" t="str">
        <f ca="1">_xlfn.XLOOKUP(C215,Products!A:A,Products!B:B)</f>
        <v>Training Wear</v>
      </c>
      <c r="E215" t="str" cm="1">
        <f t="array" aca="1" ref="E215" ca="1">INDEX(Regions!$A$2:$A$7,RANDBETWEEN(1,6))</f>
        <v>Waterford</v>
      </c>
      <c r="F215">
        <f t="shared" ca="1" si="14"/>
        <v>1</v>
      </c>
      <c r="G215">
        <f ca="1">VLOOKUP(C215,Products!$A$2:$C$9,3,FALSE)</f>
        <v>55</v>
      </c>
      <c r="H215">
        <f t="shared" ca="1" si="15"/>
        <v>55</v>
      </c>
    </row>
    <row r="216" spans="1:8" x14ac:dyDescent="0.35">
      <c r="A216">
        <f t="shared" si="12"/>
        <v>1215</v>
      </c>
      <c r="B216" s="2">
        <f t="shared" ca="1" si="13"/>
        <v>45512</v>
      </c>
      <c r="C216" t="str" cm="1">
        <f t="array" aca="1" ref="C216" ca="1">INDEX(Products!$A$2:$A$9,RANDBETWEEN(1,8))</f>
        <v>Football</v>
      </c>
      <c r="D216" t="str">
        <f ca="1">_xlfn.XLOOKUP(C216,Products!A:A,Products!B:B)</f>
        <v>Equipment</v>
      </c>
      <c r="E216" t="str" cm="1">
        <f t="array" aca="1" ref="E216" ca="1">INDEX(Regions!$A$2:$A$7,RANDBETWEEN(1,6))</f>
        <v>Limerick</v>
      </c>
      <c r="F216">
        <f t="shared" ca="1" si="14"/>
        <v>1</v>
      </c>
      <c r="G216">
        <f ca="1">VLOOKUP(C216,Products!$A$2:$C$9,3,FALSE)</f>
        <v>30</v>
      </c>
      <c r="H216">
        <f t="shared" ca="1" si="15"/>
        <v>30</v>
      </c>
    </row>
    <row r="217" spans="1:8" x14ac:dyDescent="0.35">
      <c r="A217">
        <f t="shared" si="12"/>
        <v>1216</v>
      </c>
      <c r="B217" s="2">
        <f t="shared" ca="1" si="13"/>
        <v>45698</v>
      </c>
      <c r="C217" t="str" cm="1">
        <f t="array" aca="1" ref="C217" ca="1">INDEX(Products!$A$2:$A$9,RANDBETWEEN(1,8))</f>
        <v>Away Jersey</v>
      </c>
      <c r="D217" t="str">
        <f ca="1">_xlfn.XLOOKUP(C217,Products!A:A,Products!B:B)</f>
        <v>Jerseys</v>
      </c>
      <c r="E217" t="str" cm="1">
        <f t="array" aca="1" ref="E217" ca="1">INDEX(Regions!$A$2:$A$7,RANDBETWEEN(1,6))</f>
        <v>Galway</v>
      </c>
      <c r="F217">
        <f t="shared" ca="1" si="14"/>
        <v>5</v>
      </c>
      <c r="G217">
        <f ca="1">VLOOKUP(C217,Products!$A$2:$C$9,3,FALSE)</f>
        <v>80</v>
      </c>
      <c r="H217">
        <f t="shared" ca="1" si="15"/>
        <v>400</v>
      </c>
    </row>
    <row r="218" spans="1:8" x14ac:dyDescent="0.35">
      <c r="A218">
        <f t="shared" si="12"/>
        <v>1217</v>
      </c>
      <c r="B218" s="2">
        <f t="shared" ca="1" si="13"/>
        <v>45329</v>
      </c>
      <c r="C218" t="str" cm="1">
        <f t="array" aca="1" ref="C218" ca="1">INDEX(Products!$A$2:$A$9,RANDBETWEEN(1,8))</f>
        <v>Away Jersey</v>
      </c>
      <c r="D218" t="str">
        <f ca="1">_xlfn.XLOOKUP(C218,Products!A:A,Products!B:B)</f>
        <v>Jerseys</v>
      </c>
      <c r="E218" t="str" cm="1">
        <f t="array" aca="1" ref="E218" ca="1">INDEX(Regions!$A$2:$A$7,RANDBETWEEN(1,6))</f>
        <v>Waterford</v>
      </c>
      <c r="F218">
        <f t="shared" ca="1" si="14"/>
        <v>5</v>
      </c>
      <c r="G218">
        <f ca="1">VLOOKUP(C218,Products!$A$2:$C$9,3,FALSE)</f>
        <v>80</v>
      </c>
      <c r="H218">
        <f t="shared" ca="1" si="15"/>
        <v>400</v>
      </c>
    </row>
    <row r="219" spans="1:8" x14ac:dyDescent="0.35">
      <c r="A219">
        <f t="shared" si="12"/>
        <v>1218</v>
      </c>
      <c r="B219" s="2">
        <f t="shared" ca="1" si="13"/>
        <v>45436</v>
      </c>
      <c r="C219" t="str" cm="1">
        <f t="array" aca="1" ref="C219" ca="1">INDEX(Products!$A$2:$A$9,RANDBETWEEN(1,8))</f>
        <v>Third Jersey</v>
      </c>
      <c r="D219" t="str">
        <f ca="1">_xlfn.XLOOKUP(C219,Products!A:A,Products!B:B)</f>
        <v>Jerseys</v>
      </c>
      <c r="E219" t="str" cm="1">
        <f t="array" aca="1" ref="E219" ca="1">INDEX(Regions!$A$2:$A$7,RANDBETWEEN(1,6))</f>
        <v>Belfast</v>
      </c>
      <c r="F219">
        <f t="shared" ca="1" si="14"/>
        <v>2</v>
      </c>
      <c r="G219">
        <f ca="1">VLOOKUP(C219,Products!$A$2:$C$9,3,FALSE)</f>
        <v>85</v>
      </c>
      <c r="H219">
        <f t="shared" ca="1" si="15"/>
        <v>170</v>
      </c>
    </row>
    <row r="220" spans="1:8" x14ac:dyDescent="0.35">
      <c r="A220">
        <f t="shared" si="12"/>
        <v>1219</v>
      </c>
      <c r="B220" s="2">
        <f t="shared" ca="1" si="13"/>
        <v>45393</v>
      </c>
      <c r="C220" t="str" cm="1">
        <f t="array" aca="1" ref="C220" ca="1">INDEX(Products!$A$2:$A$9,RANDBETWEEN(1,8))</f>
        <v>Home Jersey</v>
      </c>
      <c r="D220" t="str">
        <f ca="1">_xlfn.XLOOKUP(C220,Products!A:A,Products!B:B)</f>
        <v>Jerseys</v>
      </c>
      <c r="E220" t="str" cm="1">
        <f t="array" aca="1" ref="E220" ca="1">INDEX(Regions!$A$2:$A$7,RANDBETWEEN(1,6))</f>
        <v>Waterford</v>
      </c>
      <c r="F220">
        <f t="shared" ca="1" si="14"/>
        <v>5</v>
      </c>
      <c r="G220">
        <f ca="1">VLOOKUP(C220,Products!$A$2:$C$9,3,FALSE)</f>
        <v>80</v>
      </c>
      <c r="H220">
        <f t="shared" ca="1" si="15"/>
        <v>400</v>
      </c>
    </row>
    <row r="221" spans="1:8" x14ac:dyDescent="0.35">
      <c r="A221">
        <f t="shared" si="12"/>
        <v>1220</v>
      </c>
      <c r="B221" s="2">
        <f t="shared" ca="1" si="13"/>
        <v>45326</v>
      </c>
      <c r="C221" t="str" cm="1">
        <f t="array" aca="1" ref="C221" ca="1">INDEX(Products!$A$2:$A$9,RANDBETWEEN(1,8))</f>
        <v>Football</v>
      </c>
      <c r="D221" t="str">
        <f ca="1">_xlfn.XLOOKUP(C221,Products!A:A,Products!B:B)</f>
        <v>Equipment</v>
      </c>
      <c r="E221" t="str" cm="1">
        <f t="array" aca="1" ref="E221" ca="1">INDEX(Regions!$A$2:$A$7,RANDBETWEEN(1,6))</f>
        <v>Limerick</v>
      </c>
      <c r="F221">
        <f t="shared" ca="1" si="14"/>
        <v>2</v>
      </c>
      <c r="G221">
        <f ca="1">VLOOKUP(C221,Products!$A$2:$C$9,3,FALSE)</f>
        <v>30</v>
      </c>
      <c r="H221">
        <f t="shared" ca="1" si="15"/>
        <v>60</v>
      </c>
    </row>
    <row r="222" spans="1:8" x14ac:dyDescent="0.35">
      <c r="A222">
        <f t="shared" si="12"/>
        <v>1221</v>
      </c>
      <c r="B222" s="2">
        <f t="shared" ca="1" si="13"/>
        <v>45418</v>
      </c>
      <c r="C222" t="str" cm="1">
        <f t="array" aca="1" ref="C222" ca="1">INDEX(Products!$A$2:$A$9,RANDBETWEEN(1,8))</f>
        <v>Scarf</v>
      </c>
      <c r="D222" t="str">
        <f ca="1">_xlfn.XLOOKUP(C222,Products!A:A,Products!B:B)</f>
        <v>Accessories</v>
      </c>
      <c r="E222" t="str" cm="1">
        <f t="array" aca="1" ref="E222" ca="1">INDEX(Regions!$A$2:$A$7,RANDBETWEEN(1,6))</f>
        <v>Galway</v>
      </c>
      <c r="F222">
        <f t="shared" ca="1" si="14"/>
        <v>5</v>
      </c>
      <c r="G222">
        <f ca="1">VLOOKUP(C222,Products!$A$2:$C$9,3,FALSE)</f>
        <v>20</v>
      </c>
      <c r="H222">
        <f t="shared" ca="1" si="15"/>
        <v>100</v>
      </c>
    </row>
    <row r="223" spans="1:8" x14ac:dyDescent="0.35">
      <c r="A223">
        <f t="shared" si="12"/>
        <v>1222</v>
      </c>
      <c r="B223" s="2">
        <f t="shared" ca="1" si="13"/>
        <v>45350</v>
      </c>
      <c r="C223" t="str" cm="1">
        <f t="array" aca="1" ref="C223" ca="1">INDEX(Products!$A$2:$A$9,RANDBETWEEN(1,8))</f>
        <v>Jacket</v>
      </c>
      <c r="D223" t="str">
        <f ca="1">_xlfn.XLOOKUP(C223,Products!A:A,Products!B:B)</f>
        <v>Training Wear</v>
      </c>
      <c r="E223" t="str" cm="1">
        <f t="array" aca="1" ref="E223" ca="1">INDEX(Regions!$A$2:$A$7,RANDBETWEEN(1,6))</f>
        <v>Dublin</v>
      </c>
      <c r="F223">
        <f t="shared" ca="1" si="14"/>
        <v>5</v>
      </c>
      <c r="G223">
        <f ca="1">VLOOKUP(C223,Products!$A$2:$C$9,3,FALSE)</f>
        <v>90</v>
      </c>
      <c r="H223">
        <f t="shared" ca="1" si="15"/>
        <v>450</v>
      </c>
    </row>
    <row r="224" spans="1:8" x14ac:dyDescent="0.35">
      <c r="A224">
        <f t="shared" si="12"/>
        <v>1223</v>
      </c>
      <c r="B224" s="2">
        <f t="shared" ca="1" si="13"/>
        <v>45379</v>
      </c>
      <c r="C224" t="str" cm="1">
        <f t="array" aca="1" ref="C224" ca="1">INDEX(Products!$A$2:$A$9,RANDBETWEEN(1,8))</f>
        <v>Football</v>
      </c>
      <c r="D224" t="str">
        <f ca="1">_xlfn.XLOOKUP(C224,Products!A:A,Products!B:B)</f>
        <v>Equipment</v>
      </c>
      <c r="E224" t="str" cm="1">
        <f t="array" aca="1" ref="E224" ca="1">INDEX(Regions!$A$2:$A$7,RANDBETWEEN(1,6))</f>
        <v>Galway</v>
      </c>
      <c r="F224">
        <f t="shared" ca="1" si="14"/>
        <v>2</v>
      </c>
      <c r="G224">
        <f ca="1">VLOOKUP(C224,Products!$A$2:$C$9,3,FALSE)</f>
        <v>30</v>
      </c>
      <c r="H224">
        <f t="shared" ca="1" si="15"/>
        <v>60</v>
      </c>
    </row>
    <row r="225" spans="1:8" x14ac:dyDescent="0.35">
      <c r="A225">
        <f t="shared" si="12"/>
        <v>1224</v>
      </c>
      <c r="B225" s="2">
        <f t="shared" ca="1" si="13"/>
        <v>45507</v>
      </c>
      <c r="C225" t="str" cm="1">
        <f t="array" aca="1" ref="C225" ca="1">INDEX(Products!$A$2:$A$9,RANDBETWEEN(1,8))</f>
        <v>Away Jersey</v>
      </c>
      <c r="D225" t="str">
        <f ca="1">_xlfn.XLOOKUP(C225,Products!A:A,Products!B:B)</f>
        <v>Jerseys</v>
      </c>
      <c r="E225" t="str" cm="1">
        <f t="array" aca="1" ref="E225" ca="1">INDEX(Regions!$A$2:$A$7,RANDBETWEEN(1,6))</f>
        <v>Galway</v>
      </c>
      <c r="F225">
        <f t="shared" ca="1" si="14"/>
        <v>5</v>
      </c>
      <c r="G225">
        <f ca="1">VLOOKUP(C225,Products!$A$2:$C$9,3,FALSE)</f>
        <v>80</v>
      </c>
      <c r="H225">
        <f t="shared" ca="1" si="15"/>
        <v>400</v>
      </c>
    </row>
    <row r="226" spans="1:8" x14ac:dyDescent="0.35">
      <c r="A226">
        <f t="shared" si="12"/>
        <v>1225</v>
      </c>
      <c r="B226" s="2">
        <f t="shared" ca="1" si="13"/>
        <v>46022</v>
      </c>
      <c r="C226" t="str" cm="1">
        <f t="array" aca="1" ref="C226" ca="1">INDEX(Products!$A$2:$A$9,RANDBETWEEN(1,8))</f>
        <v>Scarf</v>
      </c>
      <c r="D226" t="str">
        <f ca="1">_xlfn.XLOOKUP(C226,Products!A:A,Products!B:B)</f>
        <v>Accessories</v>
      </c>
      <c r="E226" t="str" cm="1">
        <f t="array" aca="1" ref="E226" ca="1">INDEX(Regions!$A$2:$A$7,RANDBETWEEN(1,6))</f>
        <v>Galway</v>
      </c>
      <c r="F226">
        <f t="shared" ca="1" si="14"/>
        <v>5</v>
      </c>
      <c r="G226">
        <f ca="1">VLOOKUP(C226,Products!$A$2:$C$9,3,FALSE)</f>
        <v>20</v>
      </c>
      <c r="H226">
        <f t="shared" ca="1" si="15"/>
        <v>100</v>
      </c>
    </row>
    <row r="227" spans="1:8" x14ac:dyDescent="0.35">
      <c r="A227">
        <f t="shared" si="12"/>
        <v>1226</v>
      </c>
      <c r="B227" s="2">
        <f t="shared" ca="1" si="13"/>
        <v>45464</v>
      </c>
      <c r="C227" t="str" cm="1">
        <f t="array" aca="1" ref="C227" ca="1">INDEX(Products!$A$2:$A$9,RANDBETWEEN(1,8))</f>
        <v>Jacket</v>
      </c>
      <c r="D227" t="str">
        <f ca="1">_xlfn.XLOOKUP(C227,Products!A:A,Products!B:B)</f>
        <v>Training Wear</v>
      </c>
      <c r="E227" t="str" cm="1">
        <f t="array" aca="1" ref="E227" ca="1">INDEX(Regions!$A$2:$A$7,RANDBETWEEN(1,6))</f>
        <v>Belfast</v>
      </c>
      <c r="F227">
        <f t="shared" ca="1" si="14"/>
        <v>3</v>
      </c>
      <c r="G227">
        <f ca="1">VLOOKUP(C227,Products!$A$2:$C$9,3,FALSE)</f>
        <v>90</v>
      </c>
      <c r="H227">
        <f t="shared" ca="1" si="15"/>
        <v>270</v>
      </c>
    </row>
    <row r="228" spans="1:8" x14ac:dyDescent="0.35">
      <c r="A228">
        <f t="shared" si="12"/>
        <v>1227</v>
      </c>
      <c r="B228" s="2">
        <f t="shared" ca="1" si="13"/>
        <v>45623</v>
      </c>
      <c r="C228" t="str" cm="1">
        <f t="array" aca="1" ref="C228" ca="1">INDEX(Products!$A$2:$A$9,RANDBETWEEN(1,8))</f>
        <v>Third Jersey</v>
      </c>
      <c r="D228" t="str">
        <f ca="1">_xlfn.XLOOKUP(C228,Products!A:A,Products!B:B)</f>
        <v>Jerseys</v>
      </c>
      <c r="E228" t="str" cm="1">
        <f t="array" aca="1" ref="E228" ca="1">INDEX(Regions!$A$2:$A$7,RANDBETWEEN(1,6))</f>
        <v>Limerick</v>
      </c>
      <c r="F228">
        <f t="shared" ca="1" si="14"/>
        <v>2</v>
      </c>
      <c r="G228">
        <f ca="1">VLOOKUP(C228,Products!$A$2:$C$9,3,FALSE)</f>
        <v>85</v>
      </c>
      <c r="H228">
        <f t="shared" ca="1" si="15"/>
        <v>170</v>
      </c>
    </row>
    <row r="229" spans="1:8" x14ac:dyDescent="0.35">
      <c r="A229">
        <f t="shared" si="12"/>
        <v>1228</v>
      </c>
      <c r="B229" s="2">
        <f t="shared" ca="1" si="13"/>
        <v>45717</v>
      </c>
      <c r="C229" t="str" cm="1">
        <f t="array" aca="1" ref="C229" ca="1">INDEX(Products!$A$2:$A$9,RANDBETWEEN(1,8))</f>
        <v>Third Jersey</v>
      </c>
      <c r="D229" t="str">
        <f ca="1">_xlfn.XLOOKUP(C229,Products!A:A,Products!B:B)</f>
        <v>Jerseys</v>
      </c>
      <c r="E229" t="str" cm="1">
        <f t="array" aca="1" ref="E229" ca="1">INDEX(Regions!$A$2:$A$7,RANDBETWEEN(1,6))</f>
        <v>Dublin</v>
      </c>
      <c r="F229">
        <f t="shared" ca="1" si="14"/>
        <v>5</v>
      </c>
      <c r="G229">
        <f ca="1">VLOOKUP(C229,Products!$A$2:$C$9,3,FALSE)</f>
        <v>85</v>
      </c>
      <c r="H229">
        <f t="shared" ca="1" si="15"/>
        <v>425</v>
      </c>
    </row>
    <row r="230" spans="1:8" x14ac:dyDescent="0.35">
      <c r="A230">
        <f t="shared" si="12"/>
        <v>1229</v>
      </c>
      <c r="B230" s="2">
        <f t="shared" ca="1" si="13"/>
        <v>45732</v>
      </c>
      <c r="C230" t="str" cm="1">
        <f t="array" aca="1" ref="C230" ca="1">INDEX(Products!$A$2:$A$9,RANDBETWEEN(1,8))</f>
        <v>Training Top</v>
      </c>
      <c r="D230" t="str">
        <f ca="1">_xlfn.XLOOKUP(C230,Products!A:A,Products!B:B)</f>
        <v>Training Wear</v>
      </c>
      <c r="E230" t="str" cm="1">
        <f t="array" aca="1" ref="E230" ca="1">INDEX(Regions!$A$2:$A$7,RANDBETWEEN(1,6))</f>
        <v>Belfast</v>
      </c>
      <c r="F230">
        <f t="shared" ca="1" si="14"/>
        <v>1</v>
      </c>
      <c r="G230">
        <f ca="1">VLOOKUP(C230,Products!$A$2:$C$9,3,FALSE)</f>
        <v>55</v>
      </c>
      <c r="H230">
        <f t="shared" ca="1" si="15"/>
        <v>55</v>
      </c>
    </row>
    <row r="231" spans="1:8" x14ac:dyDescent="0.35">
      <c r="A231">
        <f t="shared" si="12"/>
        <v>1230</v>
      </c>
      <c r="B231" s="2">
        <f t="shared" ca="1" si="13"/>
        <v>46022</v>
      </c>
      <c r="C231" t="str" cm="1">
        <f t="array" aca="1" ref="C231" ca="1">INDEX(Products!$A$2:$A$9,RANDBETWEEN(1,8))</f>
        <v>Scarf</v>
      </c>
      <c r="D231" t="str">
        <f ca="1">_xlfn.XLOOKUP(C231,Products!A:A,Products!B:B)</f>
        <v>Accessories</v>
      </c>
      <c r="E231" t="str" cm="1">
        <f t="array" aca="1" ref="E231" ca="1">INDEX(Regions!$A$2:$A$7,RANDBETWEEN(1,6))</f>
        <v>Limerick</v>
      </c>
      <c r="F231">
        <f t="shared" ca="1" si="14"/>
        <v>3</v>
      </c>
      <c r="G231">
        <f ca="1">VLOOKUP(C231,Products!$A$2:$C$9,3,FALSE)</f>
        <v>20</v>
      </c>
      <c r="H231">
        <f t="shared" ca="1" si="15"/>
        <v>60</v>
      </c>
    </row>
    <row r="232" spans="1:8" x14ac:dyDescent="0.35">
      <c r="A232">
        <f t="shared" si="12"/>
        <v>1231</v>
      </c>
      <c r="B232" s="2">
        <f t="shared" ca="1" si="13"/>
        <v>45924</v>
      </c>
      <c r="C232" t="str" cm="1">
        <f t="array" aca="1" ref="C232" ca="1">INDEX(Products!$A$2:$A$9,RANDBETWEEN(1,8))</f>
        <v>Jacket</v>
      </c>
      <c r="D232" t="str">
        <f ca="1">_xlfn.XLOOKUP(C232,Products!A:A,Products!B:B)</f>
        <v>Training Wear</v>
      </c>
      <c r="E232" t="str" cm="1">
        <f t="array" aca="1" ref="E232" ca="1">INDEX(Regions!$A$2:$A$7,RANDBETWEEN(1,6))</f>
        <v>Cork</v>
      </c>
      <c r="F232">
        <f t="shared" ca="1" si="14"/>
        <v>2</v>
      </c>
      <c r="G232">
        <f ca="1">VLOOKUP(C232,Products!$A$2:$C$9,3,FALSE)</f>
        <v>90</v>
      </c>
      <c r="H232">
        <f t="shared" ca="1" si="15"/>
        <v>180</v>
      </c>
    </row>
    <row r="233" spans="1:8" x14ac:dyDescent="0.35">
      <c r="A233">
        <f t="shared" si="12"/>
        <v>1232</v>
      </c>
      <c r="B233" s="2">
        <f t="shared" ca="1" si="13"/>
        <v>45989</v>
      </c>
      <c r="C233" t="str" cm="1">
        <f t="array" aca="1" ref="C233" ca="1">INDEX(Products!$A$2:$A$9,RANDBETWEEN(1,8))</f>
        <v>Training Top</v>
      </c>
      <c r="D233" t="str">
        <f ca="1">_xlfn.XLOOKUP(C233,Products!A:A,Products!B:B)</f>
        <v>Training Wear</v>
      </c>
      <c r="E233" t="str" cm="1">
        <f t="array" aca="1" ref="E233" ca="1">INDEX(Regions!$A$2:$A$7,RANDBETWEEN(1,6))</f>
        <v>Cork</v>
      </c>
      <c r="F233">
        <f t="shared" ca="1" si="14"/>
        <v>1</v>
      </c>
      <c r="G233">
        <f ca="1">VLOOKUP(C233,Products!$A$2:$C$9,3,FALSE)</f>
        <v>55</v>
      </c>
      <c r="H233">
        <f t="shared" ca="1" si="15"/>
        <v>55</v>
      </c>
    </row>
    <row r="234" spans="1:8" x14ac:dyDescent="0.35">
      <c r="A234">
        <f t="shared" si="12"/>
        <v>1233</v>
      </c>
      <c r="B234" s="2">
        <f t="shared" ca="1" si="13"/>
        <v>45602</v>
      </c>
      <c r="C234" t="str" cm="1">
        <f t="array" aca="1" ref="C234" ca="1">INDEX(Products!$A$2:$A$9,RANDBETWEEN(1,8))</f>
        <v>Hat</v>
      </c>
      <c r="D234" t="str">
        <f ca="1">_xlfn.XLOOKUP(C234,Products!A:A,Products!B:B)</f>
        <v>Accessories</v>
      </c>
      <c r="E234" t="str" cm="1">
        <f t="array" aca="1" ref="E234" ca="1">INDEX(Regions!$A$2:$A$7,RANDBETWEEN(1,6))</f>
        <v>Cork</v>
      </c>
      <c r="F234">
        <f t="shared" ca="1" si="14"/>
        <v>4</v>
      </c>
      <c r="G234">
        <f ca="1">VLOOKUP(C234,Products!$A$2:$C$9,3,FALSE)</f>
        <v>25</v>
      </c>
      <c r="H234">
        <f t="shared" ca="1" si="15"/>
        <v>100</v>
      </c>
    </row>
    <row r="235" spans="1:8" x14ac:dyDescent="0.35">
      <c r="A235">
        <f t="shared" si="12"/>
        <v>1234</v>
      </c>
      <c r="B235" s="2">
        <f t="shared" ca="1" si="13"/>
        <v>45876</v>
      </c>
      <c r="C235" t="str" cm="1">
        <f t="array" aca="1" ref="C235" ca="1">INDEX(Products!$A$2:$A$9,RANDBETWEEN(1,8))</f>
        <v>Third Jersey</v>
      </c>
      <c r="D235" t="str">
        <f ca="1">_xlfn.XLOOKUP(C235,Products!A:A,Products!B:B)</f>
        <v>Jerseys</v>
      </c>
      <c r="E235" t="str" cm="1">
        <f t="array" aca="1" ref="E235" ca="1">INDEX(Regions!$A$2:$A$7,RANDBETWEEN(1,6))</f>
        <v>Waterford</v>
      </c>
      <c r="F235">
        <f t="shared" ca="1" si="14"/>
        <v>2</v>
      </c>
      <c r="G235">
        <f ca="1">VLOOKUP(C235,Products!$A$2:$C$9,3,FALSE)</f>
        <v>85</v>
      </c>
      <c r="H235">
        <f t="shared" ca="1" si="15"/>
        <v>170</v>
      </c>
    </row>
    <row r="236" spans="1:8" x14ac:dyDescent="0.35">
      <c r="A236">
        <f t="shared" si="12"/>
        <v>1235</v>
      </c>
      <c r="B236" s="2">
        <f t="shared" ca="1" si="13"/>
        <v>45765</v>
      </c>
      <c r="C236" t="str" cm="1">
        <f t="array" aca="1" ref="C236" ca="1">INDEX(Products!$A$2:$A$9,RANDBETWEEN(1,8))</f>
        <v>Football</v>
      </c>
      <c r="D236" t="str">
        <f ca="1">_xlfn.XLOOKUP(C236,Products!A:A,Products!B:B)</f>
        <v>Equipment</v>
      </c>
      <c r="E236" t="str" cm="1">
        <f t="array" aca="1" ref="E236" ca="1">INDEX(Regions!$A$2:$A$7,RANDBETWEEN(1,6))</f>
        <v>Dublin</v>
      </c>
      <c r="F236">
        <f t="shared" ca="1" si="14"/>
        <v>2</v>
      </c>
      <c r="G236">
        <f ca="1">VLOOKUP(C236,Products!$A$2:$C$9,3,FALSE)</f>
        <v>30</v>
      </c>
      <c r="H236">
        <f t="shared" ca="1" si="15"/>
        <v>60</v>
      </c>
    </row>
    <row r="237" spans="1:8" x14ac:dyDescent="0.35">
      <c r="A237">
        <f t="shared" si="12"/>
        <v>1236</v>
      </c>
      <c r="B237" s="2">
        <f t="shared" ca="1" si="13"/>
        <v>45472</v>
      </c>
      <c r="C237" t="str" cm="1">
        <f t="array" aca="1" ref="C237" ca="1">INDEX(Products!$A$2:$A$9,RANDBETWEEN(1,8))</f>
        <v>Jacket</v>
      </c>
      <c r="D237" t="str">
        <f ca="1">_xlfn.XLOOKUP(C237,Products!A:A,Products!B:B)</f>
        <v>Training Wear</v>
      </c>
      <c r="E237" t="str" cm="1">
        <f t="array" aca="1" ref="E237" ca="1">INDEX(Regions!$A$2:$A$7,RANDBETWEEN(1,6))</f>
        <v>Dublin</v>
      </c>
      <c r="F237">
        <f t="shared" ca="1" si="14"/>
        <v>3</v>
      </c>
      <c r="G237">
        <f ca="1">VLOOKUP(C237,Products!$A$2:$C$9,3,FALSE)</f>
        <v>90</v>
      </c>
      <c r="H237">
        <f t="shared" ca="1" si="15"/>
        <v>270</v>
      </c>
    </row>
    <row r="238" spans="1:8" x14ac:dyDescent="0.35">
      <c r="A238">
        <f t="shared" si="12"/>
        <v>1237</v>
      </c>
      <c r="B238" s="2">
        <f t="shared" ca="1" si="13"/>
        <v>45319</v>
      </c>
      <c r="C238" t="str" cm="1">
        <f t="array" aca="1" ref="C238" ca="1">INDEX(Products!$A$2:$A$9,RANDBETWEEN(1,8))</f>
        <v>Hat</v>
      </c>
      <c r="D238" t="str">
        <f ca="1">_xlfn.XLOOKUP(C238,Products!A:A,Products!B:B)</f>
        <v>Accessories</v>
      </c>
      <c r="E238" t="str" cm="1">
        <f t="array" aca="1" ref="E238" ca="1">INDEX(Regions!$A$2:$A$7,RANDBETWEEN(1,6))</f>
        <v>Galway</v>
      </c>
      <c r="F238">
        <f t="shared" ca="1" si="14"/>
        <v>5</v>
      </c>
      <c r="G238">
        <f ca="1">VLOOKUP(C238,Products!$A$2:$C$9,3,FALSE)</f>
        <v>25</v>
      </c>
      <c r="H238">
        <f t="shared" ca="1" si="15"/>
        <v>125</v>
      </c>
    </row>
    <row r="239" spans="1:8" x14ac:dyDescent="0.35">
      <c r="A239">
        <f t="shared" si="12"/>
        <v>1238</v>
      </c>
      <c r="B239" s="2">
        <f t="shared" ca="1" si="13"/>
        <v>45830</v>
      </c>
      <c r="C239" t="str" cm="1">
        <f t="array" aca="1" ref="C239" ca="1">INDEX(Products!$A$2:$A$9,RANDBETWEEN(1,8))</f>
        <v>Scarf</v>
      </c>
      <c r="D239" t="str">
        <f ca="1">_xlfn.XLOOKUP(C239,Products!A:A,Products!B:B)</f>
        <v>Accessories</v>
      </c>
      <c r="E239" t="str" cm="1">
        <f t="array" aca="1" ref="E239" ca="1">INDEX(Regions!$A$2:$A$7,RANDBETWEEN(1,6))</f>
        <v>Cork</v>
      </c>
      <c r="F239">
        <f t="shared" ca="1" si="14"/>
        <v>3</v>
      </c>
      <c r="G239">
        <f ca="1">VLOOKUP(C239,Products!$A$2:$C$9,3,FALSE)</f>
        <v>20</v>
      </c>
      <c r="H239">
        <f t="shared" ca="1" si="15"/>
        <v>60</v>
      </c>
    </row>
    <row r="240" spans="1:8" x14ac:dyDescent="0.35">
      <c r="A240">
        <f t="shared" si="12"/>
        <v>1239</v>
      </c>
      <c r="B240" s="2">
        <f t="shared" ca="1" si="13"/>
        <v>45317</v>
      </c>
      <c r="C240" t="str" cm="1">
        <f t="array" aca="1" ref="C240" ca="1">INDEX(Products!$A$2:$A$9,RANDBETWEEN(1,8))</f>
        <v>Hat</v>
      </c>
      <c r="D240" t="str">
        <f ca="1">_xlfn.XLOOKUP(C240,Products!A:A,Products!B:B)</f>
        <v>Accessories</v>
      </c>
      <c r="E240" t="str" cm="1">
        <f t="array" aca="1" ref="E240" ca="1">INDEX(Regions!$A$2:$A$7,RANDBETWEEN(1,6))</f>
        <v>Cork</v>
      </c>
      <c r="F240">
        <f t="shared" ca="1" si="14"/>
        <v>3</v>
      </c>
      <c r="G240">
        <f ca="1">VLOOKUP(C240,Products!$A$2:$C$9,3,FALSE)</f>
        <v>25</v>
      </c>
      <c r="H240">
        <f t="shared" ca="1" si="15"/>
        <v>75</v>
      </c>
    </row>
    <row r="241" spans="1:8" x14ac:dyDescent="0.35">
      <c r="A241">
        <f t="shared" si="12"/>
        <v>1240</v>
      </c>
      <c r="B241" s="2">
        <f t="shared" ca="1" si="13"/>
        <v>45414</v>
      </c>
      <c r="C241" t="str" cm="1">
        <f t="array" aca="1" ref="C241" ca="1">INDEX(Products!$A$2:$A$9,RANDBETWEEN(1,8))</f>
        <v>Scarf</v>
      </c>
      <c r="D241" t="str">
        <f ca="1">_xlfn.XLOOKUP(C241,Products!A:A,Products!B:B)</f>
        <v>Accessories</v>
      </c>
      <c r="E241" t="str" cm="1">
        <f t="array" aca="1" ref="E241" ca="1">INDEX(Regions!$A$2:$A$7,RANDBETWEEN(1,6))</f>
        <v>Waterford</v>
      </c>
      <c r="F241">
        <f t="shared" ca="1" si="14"/>
        <v>5</v>
      </c>
      <c r="G241">
        <f ca="1">VLOOKUP(C241,Products!$A$2:$C$9,3,FALSE)</f>
        <v>20</v>
      </c>
      <c r="H241">
        <f t="shared" ca="1" si="15"/>
        <v>100</v>
      </c>
    </row>
    <row r="242" spans="1:8" x14ac:dyDescent="0.35">
      <c r="A242">
        <f t="shared" si="12"/>
        <v>1241</v>
      </c>
      <c r="B242" s="2">
        <f t="shared" ca="1" si="13"/>
        <v>45641</v>
      </c>
      <c r="C242" t="str" cm="1">
        <f t="array" aca="1" ref="C242" ca="1">INDEX(Products!$A$2:$A$9,RANDBETWEEN(1,8))</f>
        <v>Training Top</v>
      </c>
      <c r="D242" t="str">
        <f ca="1">_xlfn.XLOOKUP(C242,Products!A:A,Products!B:B)</f>
        <v>Training Wear</v>
      </c>
      <c r="E242" t="str" cm="1">
        <f t="array" aca="1" ref="E242" ca="1">INDEX(Regions!$A$2:$A$7,RANDBETWEEN(1,6))</f>
        <v>Belfast</v>
      </c>
      <c r="F242">
        <f t="shared" ca="1" si="14"/>
        <v>3</v>
      </c>
      <c r="G242">
        <f ca="1">VLOOKUP(C242,Products!$A$2:$C$9,3,FALSE)</f>
        <v>55</v>
      </c>
      <c r="H242">
        <f t="shared" ca="1" si="15"/>
        <v>165</v>
      </c>
    </row>
    <row r="243" spans="1:8" x14ac:dyDescent="0.35">
      <c r="A243">
        <f t="shared" si="12"/>
        <v>1242</v>
      </c>
      <c r="B243" s="2">
        <f t="shared" ca="1" si="13"/>
        <v>45404</v>
      </c>
      <c r="C243" t="str" cm="1">
        <f t="array" aca="1" ref="C243" ca="1">INDEX(Products!$A$2:$A$9,RANDBETWEEN(1,8))</f>
        <v>Hat</v>
      </c>
      <c r="D243" t="str">
        <f ca="1">_xlfn.XLOOKUP(C243,Products!A:A,Products!B:B)</f>
        <v>Accessories</v>
      </c>
      <c r="E243" t="str" cm="1">
        <f t="array" aca="1" ref="E243" ca="1">INDEX(Regions!$A$2:$A$7,RANDBETWEEN(1,6))</f>
        <v>Dublin</v>
      </c>
      <c r="F243">
        <f t="shared" ca="1" si="14"/>
        <v>3</v>
      </c>
      <c r="G243">
        <f ca="1">VLOOKUP(C243,Products!$A$2:$C$9,3,FALSE)</f>
        <v>25</v>
      </c>
      <c r="H243">
        <f t="shared" ca="1" si="15"/>
        <v>75</v>
      </c>
    </row>
    <row r="244" spans="1:8" x14ac:dyDescent="0.35">
      <c r="A244">
        <f t="shared" si="12"/>
        <v>1243</v>
      </c>
      <c r="B244" s="2">
        <f t="shared" ca="1" si="13"/>
        <v>45554</v>
      </c>
      <c r="C244" t="str" cm="1">
        <f t="array" aca="1" ref="C244" ca="1">INDEX(Products!$A$2:$A$9,RANDBETWEEN(1,8))</f>
        <v>Training Top</v>
      </c>
      <c r="D244" t="str">
        <f ca="1">_xlfn.XLOOKUP(C244,Products!A:A,Products!B:B)</f>
        <v>Training Wear</v>
      </c>
      <c r="E244" t="str" cm="1">
        <f t="array" aca="1" ref="E244" ca="1">INDEX(Regions!$A$2:$A$7,RANDBETWEEN(1,6))</f>
        <v>Belfast</v>
      </c>
      <c r="F244">
        <f t="shared" ca="1" si="14"/>
        <v>4</v>
      </c>
      <c r="G244">
        <f ca="1">VLOOKUP(C244,Products!$A$2:$C$9,3,FALSE)</f>
        <v>55</v>
      </c>
      <c r="H244">
        <f t="shared" ca="1" si="15"/>
        <v>220</v>
      </c>
    </row>
    <row r="245" spans="1:8" x14ac:dyDescent="0.35">
      <c r="A245">
        <f t="shared" si="12"/>
        <v>1244</v>
      </c>
      <c r="B245" s="2">
        <f t="shared" ca="1" si="13"/>
        <v>45366</v>
      </c>
      <c r="C245" t="str" cm="1">
        <f t="array" aca="1" ref="C245" ca="1">INDEX(Products!$A$2:$A$9,RANDBETWEEN(1,8))</f>
        <v>Scarf</v>
      </c>
      <c r="D245" t="str">
        <f ca="1">_xlfn.XLOOKUP(C245,Products!A:A,Products!B:B)</f>
        <v>Accessories</v>
      </c>
      <c r="E245" t="str" cm="1">
        <f t="array" aca="1" ref="E245" ca="1">INDEX(Regions!$A$2:$A$7,RANDBETWEEN(1,6))</f>
        <v>Cork</v>
      </c>
      <c r="F245">
        <f t="shared" ca="1" si="14"/>
        <v>3</v>
      </c>
      <c r="G245">
        <f ca="1">VLOOKUP(C245,Products!$A$2:$C$9,3,FALSE)</f>
        <v>20</v>
      </c>
      <c r="H245">
        <f t="shared" ca="1" si="15"/>
        <v>60</v>
      </c>
    </row>
    <row r="246" spans="1:8" x14ac:dyDescent="0.35">
      <c r="A246">
        <f t="shared" si="12"/>
        <v>1245</v>
      </c>
      <c r="B246" s="2">
        <f t="shared" ca="1" si="13"/>
        <v>46020</v>
      </c>
      <c r="C246" t="str" cm="1">
        <f t="array" aca="1" ref="C246" ca="1">INDEX(Products!$A$2:$A$9,RANDBETWEEN(1,8))</f>
        <v>Training Top</v>
      </c>
      <c r="D246" t="str">
        <f ca="1">_xlfn.XLOOKUP(C246,Products!A:A,Products!B:B)</f>
        <v>Training Wear</v>
      </c>
      <c r="E246" t="str" cm="1">
        <f t="array" aca="1" ref="E246" ca="1">INDEX(Regions!$A$2:$A$7,RANDBETWEEN(1,6))</f>
        <v>Galway</v>
      </c>
      <c r="F246">
        <f t="shared" ca="1" si="14"/>
        <v>1</v>
      </c>
      <c r="G246">
        <f ca="1">VLOOKUP(C246,Products!$A$2:$C$9,3,FALSE)</f>
        <v>55</v>
      </c>
      <c r="H246">
        <f t="shared" ca="1" si="15"/>
        <v>55</v>
      </c>
    </row>
    <row r="247" spans="1:8" x14ac:dyDescent="0.35">
      <c r="A247">
        <f t="shared" si="12"/>
        <v>1246</v>
      </c>
      <c r="B247" s="2">
        <f t="shared" ca="1" si="13"/>
        <v>45620</v>
      </c>
      <c r="C247" t="str" cm="1">
        <f t="array" aca="1" ref="C247" ca="1">INDEX(Products!$A$2:$A$9,RANDBETWEEN(1,8))</f>
        <v>Away Jersey</v>
      </c>
      <c r="D247" t="str">
        <f ca="1">_xlfn.XLOOKUP(C247,Products!A:A,Products!B:B)</f>
        <v>Jerseys</v>
      </c>
      <c r="E247" t="str" cm="1">
        <f t="array" aca="1" ref="E247" ca="1">INDEX(Regions!$A$2:$A$7,RANDBETWEEN(1,6))</f>
        <v>Limerick</v>
      </c>
      <c r="F247">
        <f t="shared" ca="1" si="14"/>
        <v>1</v>
      </c>
      <c r="G247">
        <f ca="1">VLOOKUP(C247,Products!$A$2:$C$9,3,FALSE)</f>
        <v>80</v>
      </c>
      <c r="H247">
        <f t="shared" ca="1" si="15"/>
        <v>80</v>
      </c>
    </row>
    <row r="248" spans="1:8" x14ac:dyDescent="0.35">
      <c r="A248">
        <f t="shared" si="12"/>
        <v>1247</v>
      </c>
      <c r="B248" s="2">
        <f t="shared" ca="1" si="13"/>
        <v>45911</v>
      </c>
      <c r="C248" t="str" cm="1">
        <f t="array" aca="1" ref="C248" ca="1">INDEX(Products!$A$2:$A$9,RANDBETWEEN(1,8))</f>
        <v>Away Jersey</v>
      </c>
      <c r="D248" t="str">
        <f ca="1">_xlfn.XLOOKUP(C248,Products!A:A,Products!B:B)</f>
        <v>Jerseys</v>
      </c>
      <c r="E248" t="str" cm="1">
        <f t="array" aca="1" ref="E248" ca="1">INDEX(Regions!$A$2:$A$7,RANDBETWEEN(1,6))</f>
        <v>Belfast</v>
      </c>
      <c r="F248">
        <f t="shared" ca="1" si="14"/>
        <v>5</v>
      </c>
      <c r="G248">
        <f ca="1">VLOOKUP(C248,Products!$A$2:$C$9,3,FALSE)</f>
        <v>80</v>
      </c>
      <c r="H248">
        <f t="shared" ca="1" si="15"/>
        <v>400</v>
      </c>
    </row>
    <row r="249" spans="1:8" x14ac:dyDescent="0.35">
      <c r="A249">
        <f t="shared" si="12"/>
        <v>1248</v>
      </c>
      <c r="B249" s="2">
        <f t="shared" ca="1" si="13"/>
        <v>45410</v>
      </c>
      <c r="C249" t="str" cm="1">
        <f t="array" aca="1" ref="C249" ca="1">INDEX(Products!$A$2:$A$9,RANDBETWEEN(1,8))</f>
        <v>Hat</v>
      </c>
      <c r="D249" t="str">
        <f ca="1">_xlfn.XLOOKUP(C249,Products!A:A,Products!B:B)</f>
        <v>Accessories</v>
      </c>
      <c r="E249" t="str" cm="1">
        <f t="array" aca="1" ref="E249" ca="1">INDEX(Regions!$A$2:$A$7,RANDBETWEEN(1,6))</f>
        <v>Belfast</v>
      </c>
      <c r="F249">
        <f t="shared" ca="1" si="14"/>
        <v>5</v>
      </c>
      <c r="G249">
        <f ca="1">VLOOKUP(C249,Products!$A$2:$C$9,3,FALSE)</f>
        <v>25</v>
      </c>
      <c r="H249">
        <f t="shared" ca="1" si="15"/>
        <v>125</v>
      </c>
    </row>
    <row r="250" spans="1:8" x14ac:dyDescent="0.35">
      <c r="A250">
        <f t="shared" si="12"/>
        <v>1249</v>
      </c>
      <c r="B250" s="2">
        <f t="shared" ca="1" si="13"/>
        <v>45784</v>
      </c>
      <c r="C250" t="str" cm="1">
        <f t="array" aca="1" ref="C250" ca="1">INDEX(Products!$A$2:$A$9,RANDBETWEEN(1,8))</f>
        <v>Football</v>
      </c>
      <c r="D250" t="str">
        <f ca="1">_xlfn.XLOOKUP(C250,Products!A:A,Products!B:B)</f>
        <v>Equipment</v>
      </c>
      <c r="E250" t="str" cm="1">
        <f t="array" aca="1" ref="E250" ca="1">INDEX(Regions!$A$2:$A$7,RANDBETWEEN(1,6))</f>
        <v>Dublin</v>
      </c>
      <c r="F250">
        <f t="shared" ca="1" si="14"/>
        <v>5</v>
      </c>
      <c r="G250">
        <f ca="1">VLOOKUP(C250,Products!$A$2:$C$9,3,FALSE)</f>
        <v>30</v>
      </c>
      <c r="H250">
        <f t="shared" ca="1" si="15"/>
        <v>150</v>
      </c>
    </row>
    <row r="251" spans="1:8" x14ac:dyDescent="0.35">
      <c r="A251">
        <f t="shared" si="12"/>
        <v>1250</v>
      </c>
      <c r="B251" s="2">
        <f t="shared" ca="1" si="13"/>
        <v>45863</v>
      </c>
      <c r="C251" t="str" cm="1">
        <f t="array" aca="1" ref="C251" ca="1">INDEX(Products!$A$2:$A$9,RANDBETWEEN(1,8))</f>
        <v>Football</v>
      </c>
      <c r="D251" t="str">
        <f ca="1">_xlfn.XLOOKUP(C251,Products!A:A,Products!B:B)</f>
        <v>Equipment</v>
      </c>
      <c r="E251" t="str" cm="1">
        <f t="array" aca="1" ref="E251" ca="1">INDEX(Regions!$A$2:$A$7,RANDBETWEEN(1,6))</f>
        <v>Galway</v>
      </c>
      <c r="F251">
        <f t="shared" ca="1" si="14"/>
        <v>4</v>
      </c>
      <c r="G251">
        <f ca="1">VLOOKUP(C251,Products!$A$2:$C$9,3,FALSE)</f>
        <v>30</v>
      </c>
      <c r="H251">
        <f t="shared" ca="1" si="15"/>
        <v>120</v>
      </c>
    </row>
    <row r="252" spans="1:8" x14ac:dyDescent="0.35">
      <c r="A252">
        <f t="shared" si="12"/>
        <v>1251</v>
      </c>
      <c r="B252" s="2">
        <f t="shared" ca="1" si="13"/>
        <v>45651</v>
      </c>
      <c r="C252" t="str" cm="1">
        <f t="array" aca="1" ref="C252" ca="1">INDEX(Products!$A$2:$A$9,RANDBETWEEN(1,8))</f>
        <v>Third Jersey</v>
      </c>
      <c r="D252" t="str">
        <f ca="1">_xlfn.XLOOKUP(C252,Products!A:A,Products!B:B)</f>
        <v>Jerseys</v>
      </c>
      <c r="E252" t="str" cm="1">
        <f t="array" aca="1" ref="E252" ca="1">INDEX(Regions!$A$2:$A$7,RANDBETWEEN(1,6))</f>
        <v>Dublin</v>
      </c>
      <c r="F252">
        <f t="shared" ca="1" si="14"/>
        <v>1</v>
      </c>
      <c r="G252">
        <f ca="1">VLOOKUP(C252,Products!$A$2:$C$9,3,FALSE)</f>
        <v>85</v>
      </c>
      <c r="H252">
        <f t="shared" ca="1" si="15"/>
        <v>85</v>
      </c>
    </row>
    <row r="253" spans="1:8" x14ac:dyDescent="0.35">
      <c r="A253">
        <f t="shared" si="12"/>
        <v>1252</v>
      </c>
      <c r="B253" s="2">
        <f t="shared" ca="1" si="13"/>
        <v>45959</v>
      </c>
      <c r="C253" t="str" cm="1">
        <f t="array" aca="1" ref="C253" ca="1">INDEX(Products!$A$2:$A$9,RANDBETWEEN(1,8))</f>
        <v>Jacket</v>
      </c>
      <c r="D253" t="str">
        <f ca="1">_xlfn.XLOOKUP(C253,Products!A:A,Products!B:B)</f>
        <v>Training Wear</v>
      </c>
      <c r="E253" t="str" cm="1">
        <f t="array" aca="1" ref="E253" ca="1">INDEX(Regions!$A$2:$A$7,RANDBETWEEN(1,6))</f>
        <v>Waterford</v>
      </c>
      <c r="F253">
        <f t="shared" ca="1" si="14"/>
        <v>2</v>
      </c>
      <c r="G253">
        <f ca="1">VLOOKUP(C253,Products!$A$2:$C$9,3,FALSE)</f>
        <v>90</v>
      </c>
      <c r="H253">
        <f t="shared" ca="1" si="15"/>
        <v>180</v>
      </c>
    </row>
    <row r="254" spans="1:8" x14ac:dyDescent="0.35">
      <c r="A254">
        <f t="shared" si="12"/>
        <v>1253</v>
      </c>
      <c r="B254" s="2">
        <f t="shared" ca="1" si="13"/>
        <v>45580</v>
      </c>
      <c r="C254" t="str" cm="1">
        <f t="array" aca="1" ref="C254" ca="1">INDEX(Products!$A$2:$A$9,RANDBETWEEN(1,8))</f>
        <v>Training Top</v>
      </c>
      <c r="D254" t="str">
        <f ca="1">_xlfn.XLOOKUP(C254,Products!A:A,Products!B:B)</f>
        <v>Training Wear</v>
      </c>
      <c r="E254" t="str" cm="1">
        <f t="array" aca="1" ref="E254" ca="1">INDEX(Regions!$A$2:$A$7,RANDBETWEEN(1,6))</f>
        <v>Dublin</v>
      </c>
      <c r="F254">
        <f t="shared" ca="1" si="14"/>
        <v>2</v>
      </c>
      <c r="G254">
        <f ca="1">VLOOKUP(C254,Products!$A$2:$C$9,3,FALSE)</f>
        <v>55</v>
      </c>
      <c r="H254">
        <f t="shared" ca="1" si="15"/>
        <v>110</v>
      </c>
    </row>
    <row r="255" spans="1:8" x14ac:dyDescent="0.35">
      <c r="A255">
        <f t="shared" si="12"/>
        <v>1254</v>
      </c>
      <c r="B255" s="2">
        <f t="shared" ca="1" si="13"/>
        <v>45924</v>
      </c>
      <c r="C255" t="str" cm="1">
        <f t="array" aca="1" ref="C255" ca="1">INDEX(Products!$A$2:$A$9,RANDBETWEEN(1,8))</f>
        <v>Away Jersey</v>
      </c>
      <c r="D255" t="str">
        <f ca="1">_xlfn.XLOOKUP(C255,Products!A:A,Products!B:B)</f>
        <v>Jerseys</v>
      </c>
      <c r="E255" t="str" cm="1">
        <f t="array" aca="1" ref="E255" ca="1">INDEX(Regions!$A$2:$A$7,RANDBETWEEN(1,6))</f>
        <v>Galway</v>
      </c>
      <c r="F255">
        <f t="shared" ca="1" si="14"/>
        <v>4</v>
      </c>
      <c r="G255">
        <f ca="1">VLOOKUP(C255,Products!$A$2:$C$9,3,FALSE)</f>
        <v>80</v>
      </c>
      <c r="H255">
        <f t="shared" ca="1" si="15"/>
        <v>320</v>
      </c>
    </row>
    <row r="256" spans="1:8" x14ac:dyDescent="0.35">
      <c r="A256">
        <f t="shared" si="12"/>
        <v>1255</v>
      </c>
      <c r="B256" s="2">
        <f t="shared" ca="1" si="13"/>
        <v>46017</v>
      </c>
      <c r="C256" t="str" cm="1">
        <f t="array" aca="1" ref="C256" ca="1">INDEX(Products!$A$2:$A$9,RANDBETWEEN(1,8))</f>
        <v>Home Jersey</v>
      </c>
      <c r="D256" t="str">
        <f ca="1">_xlfn.XLOOKUP(C256,Products!A:A,Products!B:B)</f>
        <v>Jerseys</v>
      </c>
      <c r="E256" t="str" cm="1">
        <f t="array" aca="1" ref="E256" ca="1">INDEX(Regions!$A$2:$A$7,RANDBETWEEN(1,6))</f>
        <v>Belfast</v>
      </c>
      <c r="F256">
        <f t="shared" ca="1" si="14"/>
        <v>1</v>
      </c>
      <c r="G256">
        <f ca="1">VLOOKUP(C256,Products!$A$2:$C$9,3,FALSE)</f>
        <v>80</v>
      </c>
      <c r="H256">
        <f t="shared" ca="1" si="15"/>
        <v>80</v>
      </c>
    </row>
    <row r="257" spans="1:8" x14ac:dyDescent="0.35">
      <c r="A257">
        <f t="shared" si="12"/>
        <v>1256</v>
      </c>
      <c r="B257" s="2">
        <f t="shared" ca="1" si="13"/>
        <v>45806</v>
      </c>
      <c r="C257" t="str" cm="1">
        <f t="array" aca="1" ref="C257" ca="1">INDEX(Products!$A$2:$A$9,RANDBETWEEN(1,8))</f>
        <v>Training Top</v>
      </c>
      <c r="D257" t="str">
        <f ca="1">_xlfn.XLOOKUP(C257,Products!A:A,Products!B:B)</f>
        <v>Training Wear</v>
      </c>
      <c r="E257" t="str" cm="1">
        <f t="array" aca="1" ref="E257" ca="1">INDEX(Regions!$A$2:$A$7,RANDBETWEEN(1,6))</f>
        <v>Dublin</v>
      </c>
      <c r="F257">
        <f t="shared" ca="1" si="14"/>
        <v>5</v>
      </c>
      <c r="G257">
        <f ca="1">VLOOKUP(C257,Products!$A$2:$C$9,3,FALSE)</f>
        <v>55</v>
      </c>
      <c r="H257">
        <f t="shared" ca="1" si="15"/>
        <v>275</v>
      </c>
    </row>
    <row r="258" spans="1:8" x14ac:dyDescent="0.35">
      <c r="A258">
        <f t="shared" si="12"/>
        <v>1257</v>
      </c>
      <c r="B258" s="2">
        <f t="shared" ca="1" si="13"/>
        <v>45725</v>
      </c>
      <c r="C258" t="str" cm="1">
        <f t="array" aca="1" ref="C258" ca="1">INDEX(Products!$A$2:$A$9,RANDBETWEEN(1,8))</f>
        <v>Away Jersey</v>
      </c>
      <c r="D258" t="str">
        <f ca="1">_xlfn.XLOOKUP(C258,Products!A:A,Products!B:B)</f>
        <v>Jerseys</v>
      </c>
      <c r="E258" t="str" cm="1">
        <f t="array" aca="1" ref="E258" ca="1">INDEX(Regions!$A$2:$A$7,RANDBETWEEN(1,6))</f>
        <v>Galway</v>
      </c>
      <c r="F258">
        <f t="shared" ca="1" si="14"/>
        <v>5</v>
      </c>
      <c r="G258">
        <f ca="1">VLOOKUP(C258,Products!$A$2:$C$9,3,FALSE)</f>
        <v>80</v>
      </c>
      <c r="H258">
        <f t="shared" ca="1" si="15"/>
        <v>400</v>
      </c>
    </row>
    <row r="259" spans="1:8" x14ac:dyDescent="0.35">
      <c r="A259">
        <f t="shared" ref="A259:A322" si="16">ROW()+999</f>
        <v>1258</v>
      </c>
      <c r="B259" s="2">
        <f t="shared" ref="B259:B322" ca="1" si="17">DATE(2024,1,1)+RANDBETWEEN(0,730)</f>
        <v>45642</v>
      </c>
      <c r="C259" t="str" cm="1">
        <f t="array" aca="1" ref="C259" ca="1">INDEX(Products!$A$2:$A$9,RANDBETWEEN(1,8))</f>
        <v>Home Jersey</v>
      </c>
      <c r="D259" t="str">
        <f ca="1">_xlfn.XLOOKUP(C259,Products!A:A,Products!B:B)</f>
        <v>Jerseys</v>
      </c>
      <c r="E259" t="str" cm="1">
        <f t="array" aca="1" ref="E259" ca="1">INDEX(Regions!$A$2:$A$7,RANDBETWEEN(1,6))</f>
        <v>Dublin</v>
      </c>
      <c r="F259">
        <f t="shared" ref="F259:F322" ca="1" si="18">RANDBETWEEN(1,5)</f>
        <v>1</v>
      </c>
      <c r="G259">
        <f ca="1">VLOOKUP(C259,Products!$A$2:$C$9,3,FALSE)</f>
        <v>80</v>
      </c>
      <c r="H259">
        <f t="shared" ref="H259:H322" ca="1" si="19">F259*G259</f>
        <v>80</v>
      </c>
    </row>
    <row r="260" spans="1:8" x14ac:dyDescent="0.35">
      <c r="A260">
        <f t="shared" si="16"/>
        <v>1259</v>
      </c>
      <c r="B260" s="2">
        <f t="shared" ca="1" si="17"/>
        <v>45307</v>
      </c>
      <c r="C260" t="str" cm="1">
        <f t="array" aca="1" ref="C260" ca="1">INDEX(Products!$A$2:$A$9,RANDBETWEEN(1,8))</f>
        <v>Home Jersey</v>
      </c>
      <c r="D260" t="str">
        <f ca="1">_xlfn.XLOOKUP(C260,Products!A:A,Products!B:B)</f>
        <v>Jerseys</v>
      </c>
      <c r="E260" t="str" cm="1">
        <f t="array" aca="1" ref="E260" ca="1">INDEX(Regions!$A$2:$A$7,RANDBETWEEN(1,6))</f>
        <v>Cork</v>
      </c>
      <c r="F260">
        <f t="shared" ca="1" si="18"/>
        <v>1</v>
      </c>
      <c r="G260">
        <f ca="1">VLOOKUP(C260,Products!$A$2:$C$9,3,FALSE)</f>
        <v>80</v>
      </c>
      <c r="H260">
        <f t="shared" ca="1" si="19"/>
        <v>80</v>
      </c>
    </row>
    <row r="261" spans="1:8" x14ac:dyDescent="0.35">
      <c r="A261">
        <f t="shared" si="16"/>
        <v>1260</v>
      </c>
      <c r="B261" s="2">
        <f t="shared" ca="1" si="17"/>
        <v>45619</v>
      </c>
      <c r="C261" t="str" cm="1">
        <f t="array" aca="1" ref="C261" ca="1">INDEX(Products!$A$2:$A$9,RANDBETWEEN(1,8))</f>
        <v>Home Jersey</v>
      </c>
      <c r="D261" t="str">
        <f ca="1">_xlfn.XLOOKUP(C261,Products!A:A,Products!B:B)</f>
        <v>Jerseys</v>
      </c>
      <c r="E261" t="str" cm="1">
        <f t="array" aca="1" ref="E261" ca="1">INDEX(Regions!$A$2:$A$7,RANDBETWEEN(1,6))</f>
        <v>Cork</v>
      </c>
      <c r="F261">
        <f t="shared" ca="1" si="18"/>
        <v>3</v>
      </c>
      <c r="G261">
        <f ca="1">VLOOKUP(C261,Products!$A$2:$C$9,3,FALSE)</f>
        <v>80</v>
      </c>
      <c r="H261">
        <f t="shared" ca="1" si="19"/>
        <v>240</v>
      </c>
    </row>
    <row r="262" spans="1:8" x14ac:dyDescent="0.35">
      <c r="A262">
        <f t="shared" si="16"/>
        <v>1261</v>
      </c>
      <c r="B262" s="2">
        <f t="shared" ca="1" si="17"/>
        <v>45309</v>
      </c>
      <c r="C262" t="str" cm="1">
        <f t="array" aca="1" ref="C262" ca="1">INDEX(Products!$A$2:$A$9,RANDBETWEEN(1,8))</f>
        <v>Football</v>
      </c>
      <c r="D262" t="str">
        <f ca="1">_xlfn.XLOOKUP(C262,Products!A:A,Products!B:B)</f>
        <v>Equipment</v>
      </c>
      <c r="E262" t="str" cm="1">
        <f t="array" aca="1" ref="E262" ca="1">INDEX(Regions!$A$2:$A$7,RANDBETWEEN(1,6))</f>
        <v>Cork</v>
      </c>
      <c r="F262">
        <f t="shared" ca="1" si="18"/>
        <v>4</v>
      </c>
      <c r="G262">
        <f ca="1">VLOOKUP(C262,Products!$A$2:$C$9,3,FALSE)</f>
        <v>30</v>
      </c>
      <c r="H262">
        <f t="shared" ca="1" si="19"/>
        <v>120</v>
      </c>
    </row>
    <row r="263" spans="1:8" x14ac:dyDescent="0.35">
      <c r="A263">
        <f t="shared" si="16"/>
        <v>1262</v>
      </c>
      <c r="B263" s="2">
        <f t="shared" ca="1" si="17"/>
        <v>45475</v>
      </c>
      <c r="C263" t="str" cm="1">
        <f t="array" aca="1" ref="C263" ca="1">INDEX(Products!$A$2:$A$9,RANDBETWEEN(1,8))</f>
        <v>Scarf</v>
      </c>
      <c r="D263" t="str">
        <f ca="1">_xlfn.XLOOKUP(C263,Products!A:A,Products!B:B)</f>
        <v>Accessories</v>
      </c>
      <c r="E263" t="str" cm="1">
        <f t="array" aca="1" ref="E263" ca="1">INDEX(Regions!$A$2:$A$7,RANDBETWEEN(1,6))</f>
        <v>Cork</v>
      </c>
      <c r="F263">
        <f t="shared" ca="1" si="18"/>
        <v>3</v>
      </c>
      <c r="G263">
        <f ca="1">VLOOKUP(C263,Products!$A$2:$C$9,3,FALSE)</f>
        <v>20</v>
      </c>
      <c r="H263">
        <f t="shared" ca="1" si="19"/>
        <v>60</v>
      </c>
    </row>
    <row r="264" spans="1:8" x14ac:dyDescent="0.35">
      <c r="A264">
        <f t="shared" si="16"/>
        <v>1263</v>
      </c>
      <c r="B264" s="2">
        <f t="shared" ca="1" si="17"/>
        <v>45606</v>
      </c>
      <c r="C264" t="str" cm="1">
        <f t="array" aca="1" ref="C264" ca="1">INDEX(Products!$A$2:$A$9,RANDBETWEEN(1,8))</f>
        <v>Home Jersey</v>
      </c>
      <c r="D264" t="str">
        <f ca="1">_xlfn.XLOOKUP(C264,Products!A:A,Products!B:B)</f>
        <v>Jerseys</v>
      </c>
      <c r="E264" t="str" cm="1">
        <f t="array" aca="1" ref="E264" ca="1">INDEX(Regions!$A$2:$A$7,RANDBETWEEN(1,6))</f>
        <v>Galway</v>
      </c>
      <c r="F264">
        <f t="shared" ca="1" si="18"/>
        <v>5</v>
      </c>
      <c r="G264">
        <f ca="1">VLOOKUP(C264,Products!$A$2:$C$9,3,FALSE)</f>
        <v>80</v>
      </c>
      <c r="H264">
        <f t="shared" ca="1" si="19"/>
        <v>400</v>
      </c>
    </row>
    <row r="265" spans="1:8" x14ac:dyDescent="0.35">
      <c r="A265">
        <f t="shared" si="16"/>
        <v>1264</v>
      </c>
      <c r="B265" s="2">
        <f t="shared" ca="1" si="17"/>
        <v>45908</v>
      </c>
      <c r="C265" t="str" cm="1">
        <f t="array" aca="1" ref="C265" ca="1">INDEX(Products!$A$2:$A$9,RANDBETWEEN(1,8))</f>
        <v>Home Jersey</v>
      </c>
      <c r="D265" t="str">
        <f ca="1">_xlfn.XLOOKUP(C265,Products!A:A,Products!B:B)</f>
        <v>Jerseys</v>
      </c>
      <c r="E265" t="str" cm="1">
        <f t="array" aca="1" ref="E265" ca="1">INDEX(Regions!$A$2:$A$7,RANDBETWEEN(1,6))</f>
        <v>Waterford</v>
      </c>
      <c r="F265">
        <f t="shared" ca="1" si="18"/>
        <v>3</v>
      </c>
      <c r="G265">
        <f ca="1">VLOOKUP(C265,Products!$A$2:$C$9,3,FALSE)</f>
        <v>80</v>
      </c>
      <c r="H265">
        <f t="shared" ca="1" si="19"/>
        <v>240</v>
      </c>
    </row>
    <row r="266" spans="1:8" x14ac:dyDescent="0.35">
      <c r="A266">
        <f t="shared" si="16"/>
        <v>1265</v>
      </c>
      <c r="B266" s="2">
        <f t="shared" ca="1" si="17"/>
        <v>45814</v>
      </c>
      <c r="C266" t="str" cm="1">
        <f t="array" aca="1" ref="C266" ca="1">INDEX(Products!$A$2:$A$9,RANDBETWEEN(1,8))</f>
        <v>Third Jersey</v>
      </c>
      <c r="D266" t="str">
        <f ca="1">_xlfn.XLOOKUP(C266,Products!A:A,Products!B:B)</f>
        <v>Jerseys</v>
      </c>
      <c r="E266" t="str" cm="1">
        <f t="array" aca="1" ref="E266" ca="1">INDEX(Regions!$A$2:$A$7,RANDBETWEEN(1,6))</f>
        <v>Limerick</v>
      </c>
      <c r="F266">
        <f t="shared" ca="1" si="18"/>
        <v>2</v>
      </c>
      <c r="G266">
        <f ca="1">VLOOKUP(C266,Products!$A$2:$C$9,3,FALSE)</f>
        <v>85</v>
      </c>
      <c r="H266">
        <f t="shared" ca="1" si="19"/>
        <v>170</v>
      </c>
    </row>
    <row r="267" spans="1:8" x14ac:dyDescent="0.35">
      <c r="A267">
        <f t="shared" si="16"/>
        <v>1266</v>
      </c>
      <c r="B267" s="2">
        <f t="shared" ca="1" si="17"/>
        <v>45770</v>
      </c>
      <c r="C267" t="str" cm="1">
        <f t="array" aca="1" ref="C267" ca="1">INDEX(Products!$A$2:$A$9,RANDBETWEEN(1,8))</f>
        <v>Jacket</v>
      </c>
      <c r="D267" t="str">
        <f ca="1">_xlfn.XLOOKUP(C267,Products!A:A,Products!B:B)</f>
        <v>Training Wear</v>
      </c>
      <c r="E267" t="str" cm="1">
        <f t="array" aca="1" ref="E267" ca="1">INDEX(Regions!$A$2:$A$7,RANDBETWEEN(1,6))</f>
        <v>Dublin</v>
      </c>
      <c r="F267">
        <f t="shared" ca="1" si="18"/>
        <v>4</v>
      </c>
      <c r="G267">
        <f ca="1">VLOOKUP(C267,Products!$A$2:$C$9,3,FALSE)</f>
        <v>90</v>
      </c>
      <c r="H267">
        <f t="shared" ca="1" si="19"/>
        <v>360</v>
      </c>
    </row>
    <row r="268" spans="1:8" x14ac:dyDescent="0.35">
      <c r="A268">
        <f t="shared" si="16"/>
        <v>1267</v>
      </c>
      <c r="B268" s="2">
        <f t="shared" ca="1" si="17"/>
        <v>45905</v>
      </c>
      <c r="C268" t="str" cm="1">
        <f t="array" aca="1" ref="C268" ca="1">INDEX(Products!$A$2:$A$9,RANDBETWEEN(1,8))</f>
        <v>Hat</v>
      </c>
      <c r="D268" t="str">
        <f ca="1">_xlfn.XLOOKUP(C268,Products!A:A,Products!B:B)</f>
        <v>Accessories</v>
      </c>
      <c r="E268" t="str" cm="1">
        <f t="array" aca="1" ref="E268" ca="1">INDEX(Regions!$A$2:$A$7,RANDBETWEEN(1,6))</f>
        <v>Cork</v>
      </c>
      <c r="F268">
        <f t="shared" ca="1" si="18"/>
        <v>5</v>
      </c>
      <c r="G268">
        <f ca="1">VLOOKUP(C268,Products!$A$2:$C$9,3,FALSE)</f>
        <v>25</v>
      </c>
      <c r="H268">
        <f t="shared" ca="1" si="19"/>
        <v>125</v>
      </c>
    </row>
    <row r="269" spans="1:8" x14ac:dyDescent="0.35">
      <c r="A269">
        <f t="shared" si="16"/>
        <v>1268</v>
      </c>
      <c r="B269" s="2">
        <f t="shared" ca="1" si="17"/>
        <v>45642</v>
      </c>
      <c r="C269" t="str" cm="1">
        <f t="array" aca="1" ref="C269" ca="1">INDEX(Products!$A$2:$A$9,RANDBETWEEN(1,8))</f>
        <v>Third Jersey</v>
      </c>
      <c r="D269" t="str">
        <f ca="1">_xlfn.XLOOKUP(C269,Products!A:A,Products!B:B)</f>
        <v>Jerseys</v>
      </c>
      <c r="E269" t="str" cm="1">
        <f t="array" aca="1" ref="E269" ca="1">INDEX(Regions!$A$2:$A$7,RANDBETWEEN(1,6))</f>
        <v>Waterford</v>
      </c>
      <c r="F269">
        <f t="shared" ca="1" si="18"/>
        <v>3</v>
      </c>
      <c r="G269">
        <f ca="1">VLOOKUP(C269,Products!$A$2:$C$9,3,FALSE)</f>
        <v>85</v>
      </c>
      <c r="H269">
        <f t="shared" ca="1" si="19"/>
        <v>255</v>
      </c>
    </row>
    <row r="270" spans="1:8" x14ac:dyDescent="0.35">
      <c r="A270">
        <f t="shared" si="16"/>
        <v>1269</v>
      </c>
      <c r="B270" s="2">
        <f t="shared" ca="1" si="17"/>
        <v>45804</v>
      </c>
      <c r="C270" t="str" cm="1">
        <f t="array" aca="1" ref="C270" ca="1">INDEX(Products!$A$2:$A$9,RANDBETWEEN(1,8))</f>
        <v>Away Jersey</v>
      </c>
      <c r="D270" t="str">
        <f ca="1">_xlfn.XLOOKUP(C270,Products!A:A,Products!B:B)</f>
        <v>Jerseys</v>
      </c>
      <c r="E270" t="str" cm="1">
        <f t="array" aca="1" ref="E270" ca="1">INDEX(Regions!$A$2:$A$7,RANDBETWEEN(1,6))</f>
        <v>Cork</v>
      </c>
      <c r="F270">
        <f t="shared" ca="1" si="18"/>
        <v>4</v>
      </c>
      <c r="G270">
        <f ca="1">VLOOKUP(C270,Products!$A$2:$C$9,3,FALSE)</f>
        <v>80</v>
      </c>
      <c r="H270">
        <f t="shared" ca="1" si="19"/>
        <v>320</v>
      </c>
    </row>
    <row r="271" spans="1:8" x14ac:dyDescent="0.35">
      <c r="A271">
        <f t="shared" si="16"/>
        <v>1270</v>
      </c>
      <c r="B271" s="2">
        <f t="shared" ca="1" si="17"/>
        <v>46001</v>
      </c>
      <c r="C271" t="str" cm="1">
        <f t="array" aca="1" ref="C271" ca="1">INDEX(Products!$A$2:$A$9,RANDBETWEEN(1,8))</f>
        <v>Home Jersey</v>
      </c>
      <c r="D271" t="str">
        <f ca="1">_xlfn.XLOOKUP(C271,Products!A:A,Products!B:B)</f>
        <v>Jerseys</v>
      </c>
      <c r="E271" t="str" cm="1">
        <f t="array" aca="1" ref="E271" ca="1">INDEX(Regions!$A$2:$A$7,RANDBETWEEN(1,6))</f>
        <v>Cork</v>
      </c>
      <c r="F271">
        <f t="shared" ca="1" si="18"/>
        <v>2</v>
      </c>
      <c r="G271">
        <f ca="1">VLOOKUP(C271,Products!$A$2:$C$9,3,FALSE)</f>
        <v>80</v>
      </c>
      <c r="H271">
        <f t="shared" ca="1" si="19"/>
        <v>160</v>
      </c>
    </row>
    <row r="272" spans="1:8" x14ac:dyDescent="0.35">
      <c r="A272">
        <f t="shared" si="16"/>
        <v>1271</v>
      </c>
      <c r="B272" s="2">
        <f t="shared" ca="1" si="17"/>
        <v>45594</v>
      </c>
      <c r="C272" t="str" cm="1">
        <f t="array" aca="1" ref="C272" ca="1">INDEX(Products!$A$2:$A$9,RANDBETWEEN(1,8))</f>
        <v>Home Jersey</v>
      </c>
      <c r="D272" t="str">
        <f ca="1">_xlfn.XLOOKUP(C272,Products!A:A,Products!B:B)</f>
        <v>Jerseys</v>
      </c>
      <c r="E272" t="str" cm="1">
        <f t="array" aca="1" ref="E272" ca="1">INDEX(Regions!$A$2:$A$7,RANDBETWEEN(1,6))</f>
        <v>Limerick</v>
      </c>
      <c r="F272">
        <f t="shared" ca="1" si="18"/>
        <v>2</v>
      </c>
      <c r="G272">
        <f ca="1">VLOOKUP(C272,Products!$A$2:$C$9,3,FALSE)</f>
        <v>80</v>
      </c>
      <c r="H272">
        <f t="shared" ca="1" si="19"/>
        <v>160</v>
      </c>
    </row>
    <row r="273" spans="1:8" x14ac:dyDescent="0.35">
      <c r="A273">
        <f t="shared" si="16"/>
        <v>1272</v>
      </c>
      <c r="B273" s="2">
        <f t="shared" ca="1" si="17"/>
        <v>46005</v>
      </c>
      <c r="C273" t="str" cm="1">
        <f t="array" aca="1" ref="C273" ca="1">INDEX(Products!$A$2:$A$9,RANDBETWEEN(1,8))</f>
        <v>Hat</v>
      </c>
      <c r="D273" t="str">
        <f ca="1">_xlfn.XLOOKUP(C273,Products!A:A,Products!B:B)</f>
        <v>Accessories</v>
      </c>
      <c r="E273" t="str" cm="1">
        <f t="array" aca="1" ref="E273" ca="1">INDEX(Regions!$A$2:$A$7,RANDBETWEEN(1,6))</f>
        <v>Cork</v>
      </c>
      <c r="F273">
        <f t="shared" ca="1" si="18"/>
        <v>1</v>
      </c>
      <c r="G273">
        <f ca="1">VLOOKUP(C273,Products!$A$2:$C$9,3,FALSE)</f>
        <v>25</v>
      </c>
      <c r="H273">
        <f t="shared" ca="1" si="19"/>
        <v>25</v>
      </c>
    </row>
    <row r="274" spans="1:8" x14ac:dyDescent="0.35">
      <c r="A274">
        <f t="shared" si="16"/>
        <v>1273</v>
      </c>
      <c r="B274" s="2">
        <f t="shared" ca="1" si="17"/>
        <v>45598</v>
      </c>
      <c r="C274" t="str" cm="1">
        <f t="array" aca="1" ref="C274" ca="1">INDEX(Products!$A$2:$A$9,RANDBETWEEN(1,8))</f>
        <v>Home Jersey</v>
      </c>
      <c r="D274" t="str">
        <f ca="1">_xlfn.XLOOKUP(C274,Products!A:A,Products!B:B)</f>
        <v>Jerseys</v>
      </c>
      <c r="E274" t="str" cm="1">
        <f t="array" aca="1" ref="E274" ca="1">INDEX(Regions!$A$2:$A$7,RANDBETWEEN(1,6))</f>
        <v>Waterford</v>
      </c>
      <c r="F274">
        <f t="shared" ca="1" si="18"/>
        <v>2</v>
      </c>
      <c r="G274">
        <f ca="1">VLOOKUP(C274,Products!$A$2:$C$9,3,FALSE)</f>
        <v>80</v>
      </c>
      <c r="H274">
        <f t="shared" ca="1" si="19"/>
        <v>160</v>
      </c>
    </row>
    <row r="275" spans="1:8" x14ac:dyDescent="0.35">
      <c r="A275">
        <f t="shared" si="16"/>
        <v>1274</v>
      </c>
      <c r="B275" s="2">
        <f t="shared" ca="1" si="17"/>
        <v>45346</v>
      </c>
      <c r="C275" t="str" cm="1">
        <f t="array" aca="1" ref="C275" ca="1">INDEX(Products!$A$2:$A$9,RANDBETWEEN(1,8))</f>
        <v>Home Jersey</v>
      </c>
      <c r="D275" t="str">
        <f ca="1">_xlfn.XLOOKUP(C275,Products!A:A,Products!B:B)</f>
        <v>Jerseys</v>
      </c>
      <c r="E275" t="str" cm="1">
        <f t="array" aca="1" ref="E275" ca="1">INDEX(Regions!$A$2:$A$7,RANDBETWEEN(1,6))</f>
        <v>Dublin</v>
      </c>
      <c r="F275">
        <f t="shared" ca="1" si="18"/>
        <v>4</v>
      </c>
      <c r="G275">
        <f ca="1">VLOOKUP(C275,Products!$A$2:$C$9,3,FALSE)</f>
        <v>80</v>
      </c>
      <c r="H275">
        <f t="shared" ca="1" si="19"/>
        <v>320</v>
      </c>
    </row>
    <row r="276" spans="1:8" x14ac:dyDescent="0.35">
      <c r="A276">
        <f t="shared" si="16"/>
        <v>1275</v>
      </c>
      <c r="B276" s="2">
        <f t="shared" ca="1" si="17"/>
        <v>45513</v>
      </c>
      <c r="C276" t="str" cm="1">
        <f t="array" aca="1" ref="C276" ca="1">INDEX(Products!$A$2:$A$9,RANDBETWEEN(1,8))</f>
        <v>Home Jersey</v>
      </c>
      <c r="D276" t="str">
        <f ca="1">_xlfn.XLOOKUP(C276,Products!A:A,Products!B:B)</f>
        <v>Jerseys</v>
      </c>
      <c r="E276" t="str" cm="1">
        <f t="array" aca="1" ref="E276" ca="1">INDEX(Regions!$A$2:$A$7,RANDBETWEEN(1,6))</f>
        <v>Cork</v>
      </c>
      <c r="F276">
        <f t="shared" ca="1" si="18"/>
        <v>2</v>
      </c>
      <c r="G276">
        <f ca="1">VLOOKUP(C276,Products!$A$2:$C$9,3,FALSE)</f>
        <v>80</v>
      </c>
      <c r="H276">
        <f t="shared" ca="1" si="19"/>
        <v>160</v>
      </c>
    </row>
    <row r="277" spans="1:8" x14ac:dyDescent="0.35">
      <c r="A277">
        <f t="shared" si="16"/>
        <v>1276</v>
      </c>
      <c r="B277" s="2">
        <f t="shared" ca="1" si="17"/>
        <v>45419</v>
      </c>
      <c r="C277" t="str" cm="1">
        <f t="array" aca="1" ref="C277" ca="1">INDEX(Products!$A$2:$A$9,RANDBETWEEN(1,8))</f>
        <v>Training Top</v>
      </c>
      <c r="D277" t="str">
        <f ca="1">_xlfn.XLOOKUP(C277,Products!A:A,Products!B:B)</f>
        <v>Training Wear</v>
      </c>
      <c r="E277" t="str" cm="1">
        <f t="array" aca="1" ref="E277" ca="1">INDEX(Regions!$A$2:$A$7,RANDBETWEEN(1,6))</f>
        <v>Galway</v>
      </c>
      <c r="F277">
        <f t="shared" ca="1" si="18"/>
        <v>1</v>
      </c>
      <c r="G277">
        <f ca="1">VLOOKUP(C277,Products!$A$2:$C$9,3,FALSE)</f>
        <v>55</v>
      </c>
      <c r="H277">
        <f t="shared" ca="1" si="19"/>
        <v>55</v>
      </c>
    </row>
    <row r="278" spans="1:8" x14ac:dyDescent="0.35">
      <c r="A278">
        <f t="shared" si="16"/>
        <v>1277</v>
      </c>
      <c r="B278" s="2">
        <f t="shared" ca="1" si="17"/>
        <v>45428</v>
      </c>
      <c r="C278" t="str" cm="1">
        <f t="array" aca="1" ref="C278" ca="1">INDEX(Products!$A$2:$A$9,RANDBETWEEN(1,8))</f>
        <v>Football</v>
      </c>
      <c r="D278" t="str">
        <f ca="1">_xlfn.XLOOKUP(C278,Products!A:A,Products!B:B)</f>
        <v>Equipment</v>
      </c>
      <c r="E278" t="str" cm="1">
        <f t="array" aca="1" ref="E278" ca="1">INDEX(Regions!$A$2:$A$7,RANDBETWEEN(1,6))</f>
        <v>Galway</v>
      </c>
      <c r="F278">
        <f t="shared" ca="1" si="18"/>
        <v>4</v>
      </c>
      <c r="G278">
        <f ca="1">VLOOKUP(C278,Products!$A$2:$C$9,3,FALSE)</f>
        <v>30</v>
      </c>
      <c r="H278">
        <f t="shared" ca="1" si="19"/>
        <v>120</v>
      </c>
    </row>
    <row r="279" spans="1:8" x14ac:dyDescent="0.35">
      <c r="A279">
        <f t="shared" si="16"/>
        <v>1278</v>
      </c>
      <c r="B279" s="2">
        <f t="shared" ca="1" si="17"/>
        <v>45745</v>
      </c>
      <c r="C279" t="str" cm="1">
        <f t="array" aca="1" ref="C279" ca="1">INDEX(Products!$A$2:$A$9,RANDBETWEEN(1,8))</f>
        <v>Third Jersey</v>
      </c>
      <c r="D279" t="str">
        <f ca="1">_xlfn.XLOOKUP(C279,Products!A:A,Products!B:B)</f>
        <v>Jerseys</v>
      </c>
      <c r="E279" t="str" cm="1">
        <f t="array" aca="1" ref="E279" ca="1">INDEX(Regions!$A$2:$A$7,RANDBETWEEN(1,6))</f>
        <v>Waterford</v>
      </c>
      <c r="F279">
        <f t="shared" ca="1" si="18"/>
        <v>3</v>
      </c>
      <c r="G279">
        <f ca="1">VLOOKUP(C279,Products!$A$2:$C$9,3,FALSE)</f>
        <v>85</v>
      </c>
      <c r="H279">
        <f t="shared" ca="1" si="19"/>
        <v>255</v>
      </c>
    </row>
    <row r="280" spans="1:8" x14ac:dyDescent="0.35">
      <c r="A280">
        <f t="shared" si="16"/>
        <v>1279</v>
      </c>
      <c r="B280" s="2">
        <f t="shared" ca="1" si="17"/>
        <v>45768</v>
      </c>
      <c r="C280" t="str" cm="1">
        <f t="array" aca="1" ref="C280" ca="1">INDEX(Products!$A$2:$A$9,RANDBETWEEN(1,8))</f>
        <v>Away Jersey</v>
      </c>
      <c r="D280" t="str">
        <f ca="1">_xlfn.XLOOKUP(C280,Products!A:A,Products!B:B)</f>
        <v>Jerseys</v>
      </c>
      <c r="E280" t="str" cm="1">
        <f t="array" aca="1" ref="E280" ca="1">INDEX(Regions!$A$2:$A$7,RANDBETWEEN(1,6))</f>
        <v>Belfast</v>
      </c>
      <c r="F280">
        <f t="shared" ca="1" si="18"/>
        <v>5</v>
      </c>
      <c r="G280">
        <f ca="1">VLOOKUP(C280,Products!$A$2:$C$9,3,FALSE)</f>
        <v>80</v>
      </c>
      <c r="H280">
        <f t="shared" ca="1" si="19"/>
        <v>400</v>
      </c>
    </row>
    <row r="281" spans="1:8" x14ac:dyDescent="0.35">
      <c r="A281">
        <f t="shared" si="16"/>
        <v>1280</v>
      </c>
      <c r="B281" s="2">
        <f t="shared" ca="1" si="17"/>
        <v>45646</v>
      </c>
      <c r="C281" t="str" cm="1">
        <f t="array" aca="1" ref="C281" ca="1">INDEX(Products!$A$2:$A$9,RANDBETWEEN(1,8))</f>
        <v>Football</v>
      </c>
      <c r="D281" t="str">
        <f ca="1">_xlfn.XLOOKUP(C281,Products!A:A,Products!B:B)</f>
        <v>Equipment</v>
      </c>
      <c r="E281" t="str" cm="1">
        <f t="array" aca="1" ref="E281" ca="1">INDEX(Regions!$A$2:$A$7,RANDBETWEEN(1,6))</f>
        <v>Cork</v>
      </c>
      <c r="F281">
        <f t="shared" ca="1" si="18"/>
        <v>3</v>
      </c>
      <c r="G281">
        <f ca="1">VLOOKUP(C281,Products!$A$2:$C$9,3,FALSE)</f>
        <v>30</v>
      </c>
      <c r="H281">
        <f t="shared" ca="1" si="19"/>
        <v>90</v>
      </c>
    </row>
    <row r="282" spans="1:8" x14ac:dyDescent="0.35">
      <c r="A282">
        <f t="shared" si="16"/>
        <v>1281</v>
      </c>
      <c r="B282" s="2">
        <f t="shared" ca="1" si="17"/>
        <v>45791</v>
      </c>
      <c r="C282" t="str" cm="1">
        <f t="array" aca="1" ref="C282" ca="1">INDEX(Products!$A$2:$A$9,RANDBETWEEN(1,8))</f>
        <v>Jacket</v>
      </c>
      <c r="D282" t="str">
        <f ca="1">_xlfn.XLOOKUP(C282,Products!A:A,Products!B:B)</f>
        <v>Training Wear</v>
      </c>
      <c r="E282" t="str" cm="1">
        <f t="array" aca="1" ref="E282" ca="1">INDEX(Regions!$A$2:$A$7,RANDBETWEEN(1,6))</f>
        <v>Dublin</v>
      </c>
      <c r="F282">
        <f t="shared" ca="1" si="18"/>
        <v>1</v>
      </c>
      <c r="G282">
        <f ca="1">VLOOKUP(C282,Products!$A$2:$C$9,3,FALSE)</f>
        <v>90</v>
      </c>
      <c r="H282">
        <f t="shared" ca="1" si="19"/>
        <v>90</v>
      </c>
    </row>
    <row r="283" spans="1:8" x14ac:dyDescent="0.35">
      <c r="A283">
        <f t="shared" si="16"/>
        <v>1282</v>
      </c>
      <c r="B283" s="2">
        <f t="shared" ca="1" si="17"/>
        <v>45350</v>
      </c>
      <c r="C283" t="str" cm="1">
        <f t="array" aca="1" ref="C283" ca="1">INDEX(Products!$A$2:$A$9,RANDBETWEEN(1,8))</f>
        <v>Jacket</v>
      </c>
      <c r="D283" t="str">
        <f ca="1">_xlfn.XLOOKUP(C283,Products!A:A,Products!B:B)</f>
        <v>Training Wear</v>
      </c>
      <c r="E283" t="str" cm="1">
        <f t="array" aca="1" ref="E283" ca="1">INDEX(Regions!$A$2:$A$7,RANDBETWEEN(1,6))</f>
        <v>Cork</v>
      </c>
      <c r="F283">
        <f t="shared" ca="1" si="18"/>
        <v>4</v>
      </c>
      <c r="G283">
        <f ca="1">VLOOKUP(C283,Products!$A$2:$C$9,3,FALSE)</f>
        <v>90</v>
      </c>
      <c r="H283">
        <f t="shared" ca="1" si="19"/>
        <v>360</v>
      </c>
    </row>
    <row r="284" spans="1:8" x14ac:dyDescent="0.35">
      <c r="A284">
        <f t="shared" si="16"/>
        <v>1283</v>
      </c>
      <c r="B284" s="2">
        <f t="shared" ca="1" si="17"/>
        <v>45341</v>
      </c>
      <c r="C284" t="str" cm="1">
        <f t="array" aca="1" ref="C284" ca="1">INDEX(Products!$A$2:$A$9,RANDBETWEEN(1,8))</f>
        <v>Third Jersey</v>
      </c>
      <c r="D284" t="str">
        <f ca="1">_xlfn.XLOOKUP(C284,Products!A:A,Products!B:B)</f>
        <v>Jerseys</v>
      </c>
      <c r="E284" t="str" cm="1">
        <f t="array" aca="1" ref="E284" ca="1">INDEX(Regions!$A$2:$A$7,RANDBETWEEN(1,6))</f>
        <v>Dublin</v>
      </c>
      <c r="F284">
        <f t="shared" ca="1" si="18"/>
        <v>3</v>
      </c>
      <c r="G284">
        <f ca="1">VLOOKUP(C284,Products!$A$2:$C$9,3,FALSE)</f>
        <v>85</v>
      </c>
      <c r="H284">
        <f t="shared" ca="1" si="19"/>
        <v>255</v>
      </c>
    </row>
    <row r="285" spans="1:8" x14ac:dyDescent="0.35">
      <c r="A285">
        <f t="shared" si="16"/>
        <v>1284</v>
      </c>
      <c r="B285" s="2">
        <f t="shared" ca="1" si="17"/>
        <v>45989</v>
      </c>
      <c r="C285" t="str" cm="1">
        <f t="array" aca="1" ref="C285" ca="1">INDEX(Products!$A$2:$A$9,RANDBETWEEN(1,8))</f>
        <v>Football</v>
      </c>
      <c r="D285" t="str">
        <f ca="1">_xlfn.XLOOKUP(C285,Products!A:A,Products!B:B)</f>
        <v>Equipment</v>
      </c>
      <c r="E285" t="str" cm="1">
        <f t="array" aca="1" ref="E285" ca="1">INDEX(Regions!$A$2:$A$7,RANDBETWEEN(1,6))</f>
        <v>Waterford</v>
      </c>
      <c r="F285">
        <f t="shared" ca="1" si="18"/>
        <v>5</v>
      </c>
      <c r="G285">
        <f ca="1">VLOOKUP(C285,Products!$A$2:$C$9,3,FALSE)</f>
        <v>30</v>
      </c>
      <c r="H285">
        <f t="shared" ca="1" si="19"/>
        <v>150</v>
      </c>
    </row>
    <row r="286" spans="1:8" x14ac:dyDescent="0.35">
      <c r="A286">
        <f t="shared" si="16"/>
        <v>1285</v>
      </c>
      <c r="B286" s="2">
        <f t="shared" ca="1" si="17"/>
        <v>45604</v>
      </c>
      <c r="C286" t="str" cm="1">
        <f t="array" aca="1" ref="C286" ca="1">INDEX(Products!$A$2:$A$9,RANDBETWEEN(1,8))</f>
        <v>Scarf</v>
      </c>
      <c r="D286" t="str">
        <f ca="1">_xlfn.XLOOKUP(C286,Products!A:A,Products!B:B)</f>
        <v>Accessories</v>
      </c>
      <c r="E286" t="str" cm="1">
        <f t="array" aca="1" ref="E286" ca="1">INDEX(Regions!$A$2:$A$7,RANDBETWEEN(1,6))</f>
        <v>Cork</v>
      </c>
      <c r="F286">
        <f t="shared" ca="1" si="18"/>
        <v>2</v>
      </c>
      <c r="G286">
        <f ca="1">VLOOKUP(C286,Products!$A$2:$C$9,3,FALSE)</f>
        <v>20</v>
      </c>
      <c r="H286">
        <f t="shared" ca="1" si="19"/>
        <v>40</v>
      </c>
    </row>
    <row r="287" spans="1:8" x14ac:dyDescent="0.35">
      <c r="A287">
        <f t="shared" si="16"/>
        <v>1286</v>
      </c>
      <c r="B287" s="2">
        <f t="shared" ca="1" si="17"/>
        <v>45834</v>
      </c>
      <c r="C287" t="str" cm="1">
        <f t="array" aca="1" ref="C287" ca="1">INDEX(Products!$A$2:$A$9,RANDBETWEEN(1,8))</f>
        <v>Jacket</v>
      </c>
      <c r="D287" t="str">
        <f ca="1">_xlfn.XLOOKUP(C287,Products!A:A,Products!B:B)</f>
        <v>Training Wear</v>
      </c>
      <c r="E287" t="str" cm="1">
        <f t="array" aca="1" ref="E287" ca="1">INDEX(Regions!$A$2:$A$7,RANDBETWEEN(1,6))</f>
        <v>Waterford</v>
      </c>
      <c r="F287">
        <f t="shared" ca="1" si="18"/>
        <v>2</v>
      </c>
      <c r="G287">
        <f ca="1">VLOOKUP(C287,Products!$A$2:$C$9,3,FALSE)</f>
        <v>90</v>
      </c>
      <c r="H287">
        <f t="shared" ca="1" si="19"/>
        <v>180</v>
      </c>
    </row>
    <row r="288" spans="1:8" x14ac:dyDescent="0.35">
      <c r="A288">
        <f t="shared" si="16"/>
        <v>1287</v>
      </c>
      <c r="B288" s="2">
        <f t="shared" ca="1" si="17"/>
        <v>45626</v>
      </c>
      <c r="C288" t="str" cm="1">
        <f t="array" aca="1" ref="C288" ca="1">INDEX(Products!$A$2:$A$9,RANDBETWEEN(1,8))</f>
        <v>Home Jersey</v>
      </c>
      <c r="D288" t="str">
        <f ca="1">_xlfn.XLOOKUP(C288,Products!A:A,Products!B:B)</f>
        <v>Jerseys</v>
      </c>
      <c r="E288" t="str" cm="1">
        <f t="array" aca="1" ref="E288" ca="1">INDEX(Regions!$A$2:$A$7,RANDBETWEEN(1,6))</f>
        <v>Galway</v>
      </c>
      <c r="F288">
        <f t="shared" ca="1" si="18"/>
        <v>3</v>
      </c>
      <c r="G288">
        <f ca="1">VLOOKUP(C288,Products!$A$2:$C$9,3,FALSE)</f>
        <v>80</v>
      </c>
      <c r="H288">
        <f t="shared" ca="1" si="19"/>
        <v>240</v>
      </c>
    </row>
    <row r="289" spans="1:8" x14ac:dyDescent="0.35">
      <c r="A289">
        <f t="shared" si="16"/>
        <v>1288</v>
      </c>
      <c r="B289" s="2">
        <f t="shared" ca="1" si="17"/>
        <v>45297</v>
      </c>
      <c r="C289" t="str" cm="1">
        <f t="array" aca="1" ref="C289" ca="1">INDEX(Products!$A$2:$A$9,RANDBETWEEN(1,8))</f>
        <v>Training Top</v>
      </c>
      <c r="D289" t="str">
        <f ca="1">_xlfn.XLOOKUP(C289,Products!A:A,Products!B:B)</f>
        <v>Training Wear</v>
      </c>
      <c r="E289" t="str" cm="1">
        <f t="array" aca="1" ref="E289" ca="1">INDEX(Regions!$A$2:$A$7,RANDBETWEEN(1,6))</f>
        <v>Limerick</v>
      </c>
      <c r="F289">
        <f t="shared" ca="1" si="18"/>
        <v>3</v>
      </c>
      <c r="G289">
        <f ca="1">VLOOKUP(C289,Products!$A$2:$C$9,3,FALSE)</f>
        <v>55</v>
      </c>
      <c r="H289">
        <f t="shared" ca="1" si="19"/>
        <v>165</v>
      </c>
    </row>
    <row r="290" spans="1:8" x14ac:dyDescent="0.35">
      <c r="A290">
        <f t="shared" si="16"/>
        <v>1289</v>
      </c>
      <c r="B290" s="2">
        <f t="shared" ca="1" si="17"/>
        <v>45850</v>
      </c>
      <c r="C290" t="str" cm="1">
        <f t="array" aca="1" ref="C290" ca="1">INDEX(Products!$A$2:$A$9,RANDBETWEEN(1,8))</f>
        <v>Hat</v>
      </c>
      <c r="D290" t="str">
        <f ca="1">_xlfn.XLOOKUP(C290,Products!A:A,Products!B:B)</f>
        <v>Accessories</v>
      </c>
      <c r="E290" t="str" cm="1">
        <f t="array" aca="1" ref="E290" ca="1">INDEX(Regions!$A$2:$A$7,RANDBETWEEN(1,6))</f>
        <v>Dublin</v>
      </c>
      <c r="F290">
        <f t="shared" ca="1" si="18"/>
        <v>3</v>
      </c>
      <c r="G290">
        <f ca="1">VLOOKUP(C290,Products!$A$2:$C$9,3,FALSE)</f>
        <v>25</v>
      </c>
      <c r="H290">
        <f t="shared" ca="1" si="19"/>
        <v>75</v>
      </c>
    </row>
    <row r="291" spans="1:8" x14ac:dyDescent="0.35">
      <c r="A291">
        <f t="shared" si="16"/>
        <v>1290</v>
      </c>
      <c r="B291" s="2">
        <f t="shared" ca="1" si="17"/>
        <v>45865</v>
      </c>
      <c r="C291" t="str" cm="1">
        <f t="array" aca="1" ref="C291" ca="1">INDEX(Products!$A$2:$A$9,RANDBETWEEN(1,8))</f>
        <v>Away Jersey</v>
      </c>
      <c r="D291" t="str">
        <f ca="1">_xlfn.XLOOKUP(C291,Products!A:A,Products!B:B)</f>
        <v>Jerseys</v>
      </c>
      <c r="E291" t="str" cm="1">
        <f t="array" aca="1" ref="E291" ca="1">INDEX(Regions!$A$2:$A$7,RANDBETWEEN(1,6))</f>
        <v>Limerick</v>
      </c>
      <c r="F291">
        <f t="shared" ca="1" si="18"/>
        <v>1</v>
      </c>
      <c r="G291">
        <f ca="1">VLOOKUP(C291,Products!$A$2:$C$9,3,FALSE)</f>
        <v>80</v>
      </c>
      <c r="H291">
        <f t="shared" ca="1" si="19"/>
        <v>80</v>
      </c>
    </row>
    <row r="292" spans="1:8" x14ac:dyDescent="0.35">
      <c r="A292">
        <f t="shared" si="16"/>
        <v>1291</v>
      </c>
      <c r="B292" s="2">
        <f t="shared" ca="1" si="17"/>
        <v>45301</v>
      </c>
      <c r="C292" t="str" cm="1">
        <f t="array" aca="1" ref="C292" ca="1">INDEX(Products!$A$2:$A$9,RANDBETWEEN(1,8))</f>
        <v>Home Jersey</v>
      </c>
      <c r="D292" t="str">
        <f ca="1">_xlfn.XLOOKUP(C292,Products!A:A,Products!B:B)</f>
        <v>Jerseys</v>
      </c>
      <c r="E292" t="str" cm="1">
        <f t="array" aca="1" ref="E292" ca="1">INDEX(Regions!$A$2:$A$7,RANDBETWEEN(1,6))</f>
        <v>Galway</v>
      </c>
      <c r="F292">
        <f t="shared" ca="1" si="18"/>
        <v>1</v>
      </c>
      <c r="G292">
        <f ca="1">VLOOKUP(C292,Products!$A$2:$C$9,3,FALSE)</f>
        <v>80</v>
      </c>
      <c r="H292">
        <f t="shared" ca="1" si="19"/>
        <v>80</v>
      </c>
    </row>
    <row r="293" spans="1:8" x14ac:dyDescent="0.35">
      <c r="A293">
        <f t="shared" si="16"/>
        <v>1292</v>
      </c>
      <c r="B293" s="2">
        <f t="shared" ca="1" si="17"/>
        <v>45936</v>
      </c>
      <c r="C293" t="str" cm="1">
        <f t="array" aca="1" ref="C293" ca="1">INDEX(Products!$A$2:$A$9,RANDBETWEEN(1,8))</f>
        <v>Hat</v>
      </c>
      <c r="D293" t="str">
        <f ca="1">_xlfn.XLOOKUP(C293,Products!A:A,Products!B:B)</f>
        <v>Accessories</v>
      </c>
      <c r="E293" t="str" cm="1">
        <f t="array" aca="1" ref="E293" ca="1">INDEX(Regions!$A$2:$A$7,RANDBETWEEN(1,6))</f>
        <v>Limerick</v>
      </c>
      <c r="F293">
        <f t="shared" ca="1" si="18"/>
        <v>3</v>
      </c>
      <c r="G293">
        <f ca="1">VLOOKUP(C293,Products!$A$2:$C$9,3,FALSE)</f>
        <v>25</v>
      </c>
      <c r="H293">
        <f t="shared" ca="1" si="19"/>
        <v>75</v>
      </c>
    </row>
    <row r="294" spans="1:8" x14ac:dyDescent="0.35">
      <c r="A294">
        <f t="shared" si="16"/>
        <v>1293</v>
      </c>
      <c r="B294" s="2">
        <f t="shared" ca="1" si="17"/>
        <v>45519</v>
      </c>
      <c r="C294" t="str" cm="1">
        <f t="array" aca="1" ref="C294" ca="1">INDEX(Products!$A$2:$A$9,RANDBETWEEN(1,8))</f>
        <v>Jacket</v>
      </c>
      <c r="D294" t="str">
        <f ca="1">_xlfn.XLOOKUP(C294,Products!A:A,Products!B:B)</f>
        <v>Training Wear</v>
      </c>
      <c r="E294" t="str" cm="1">
        <f t="array" aca="1" ref="E294" ca="1">INDEX(Regions!$A$2:$A$7,RANDBETWEEN(1,6))</f>
        <v>Cork</v>
      </c>
      <c r="F294">
        <f t="shared" ca="1" si="18"/>
        <v>2</v>
      </c>
      <c r="G294">
        <f ca="1">VLOOKUP(C294,Products!$A$2:$C$9,3,FALSE)</f>
        <v>90</v>
      </c>
      <c r="H294">
        <f t="shared" ca="1" si="19"/>
        <v>180</v>
      </c>
    </row>
    <row r="295" spans="1:8" x14ac:dyDescent="0.35">
      <c r="A295">
        <f t="shared" si="16"/>
        <v>1294</v>
      </c>
      <c r="B295" s="2">
        <f t="shared" ca="1" si="17"/>
        <v>45317</v>
      </c>
      <c r="C295" t="str" cm="1">
        <f t="array" aca="1" ref="C295" ca="1">INDEX(Products!$A$2:$A$9,RANDBETWEEN(1,8))</f>
        <v>Training Top</v>
      </c>
      <c r="D295" t="str">
        <f ca="1">_xlfn.XLOOKUP(C295,Products!A:A,Products!B:B)</f>
        <v>Training Wear</v>
      </c>
      <c r="E295" t="str" cm="1">
        <f t="array" aca="1" ref="E295" ca="1">INDEX(Regions!$A$2:$A$7,RANDBETWEEN(1,6))</f>
        <v>Waterford</v>
      </c>
      <c r="F295">
        <f t="shared" ca="1" si="18"/>
        <v>1</v>
      </c>
      <c r="G295">
        <f ca="1">VLOOKUP(C295,Products!$A$2:$C$9,3,FALSE)</f>
        <v>55</v>
      </c>
      <c r="H295">
        <f t="shared" ca="1" si="19"/>
        <v>55</v>
      </c>
    </row>
    <row r="296" spans="1:8" x14ac:dyDescent="0.35">
      <c r="A296">
        <f t="shared" si="16"/>
        <v>1295</v>
      </c>
      <c r="B296" s="2">
        <f t="shared" ca="1" si="17"/>
        <v>45361</v>
      </c>
      <c r="C296" t="str" cm="1">
        <f t="array" aca="1" ref="C296" ca="1">INDEX(Products!$A$2:$A$9,RANDBETWEEN(1,8))</f>
        <v>Home Jersey</v>
      </c>
      <c r="D296" t="str">
        <f ca="1">_xlfn.XLOOKUP(C296,Products!A:A,Products!B:B)</f>
        <v>Jerseys</v>
      </c>
      <c r="E296" t="str" cm="1">
        <f t="array" aca="1" ref="E296" ca="1">INDEX(Regions!$A$2:$A$7,RANDBETWEEN(1,6))</f>
        <v>Galway</v>
      </c>
      <c r="F296">
        <f t="shared" ca="1" si="18"/>
        <v>5</v>
      </c>
      <c r="G296">
        <f ca="1">VLOOKUP(C296,Products!$A$2:$C$9,3,FALSE)</f>
        <v>80</v>
      </c>
      <c r="H296">
        <f t="shared" ca="1" si="19"/>
        <v>400</v>
      </c>
    </row>
    <row r="297" spans="1:8" x14ac:dyDescent="0.35">
      <c r="A297">
        <f t="shared" si="16"/>
        <v>1296</v>
      </c>
      <c r="B297" s="2">
        <f t="shared" ca="1" si="17"/>
        <v>45669</v>
      </c>
      <c r="C297" t="str" cm="1">
        <f t="array" aca="1" ref="C297" ca="1">INDEX(Products!$A$2:$A$9,RANDBETWEEN(1,8))</f>
        <v>Hat</v>
      </c>
      <c r="D297" t="str">
        <f ca="1">_xlfn.XLOOKUP(C297,Products!A:A,Products!B:B)</f>
        <v>Accessories</v>
      </c>
      <c r="E297" t="str" cm="1">
        <f t="array" aca="1" ref="E297" ca="1">INDEX(Regions!$A$2:$A$7,RANDBETWEEN(1,6))</f>
        <v>Galway</v>
      </c>
      <c r="F297">
        <f t="shared" ca="1" si="18"/>
        <v>2</v>
      </c>
      <c r="G297">
        <f ca="1">VLOOKUP(C297,Products!$A$2:$C$9,3,FALSE)</f>
        <v>25</v>
      </c>
      <c r="H297">
        <f t="shared" ca="1" si="19"/>
        <v>50</v>
      </c>
    </row>
    <row r="298" spans="1:8" x14ac:dyDescent="0.35">
      <c r="A298">
        <f t="shared" si="16"/>
        <v>1297</v>
      </c>
      <c r="B298" s="2">
        <f t="shared" ca="1" si="17"/>
        <v>45565</v>
      </c>
      <c r="C298" t="str" cm="1">
        <f t="array" aca="1" ref="C298" ca="1">INDEX(Products!$A$2:$A$9,RANDBETWEEN(1,8))</f>
        <v>Hat</v>
      </c>
      <c r="D298" t="str">
        <f ca="1">_xlfn.XLOOKUP(C298,Products!A:A,Products!B:B)</f>
        <v>Accessories</v>
      </c>
      <c r="E298" t="str" cm="1">
        <f t="array" aca="1" ref="E298" ca="1">INDEX(Regions!$A$2:$A$7,RANDBETWEEN(1,6))</f>
        <v>Dublin</v>
      </c>
      <c r="F298">
        <f t="shared" ca="1" si="18"/>
        <v>4</v>
      </c>
      <c r="G298">
        <f ca="1">VLOOKUP(C298,Products!$A$2:$C$9,3,FALSE)</f>
        <v>25</v>
      </c>
      <c r="H298">
        <f t="shared" ca="1" si="19"/>
        <v>100</v>
      </c>
    </row>
    <row r="299" spans="1:8" x14ac:dyDescent="0.35">
      <c r="A299">
        <f t="shared" si="16"/>
        <v>1298</v>
      </c>
      <c r="B299" s="2">
        <f t="shared" ca="1" si="17"/>
        <v>45869</v>
      </c>
      <c r="C299" t="str" cm="1">
        <f t="array" aca="1" ref="C299" ca="1">INDEX(Products!$A$2:$A$9,RANDBETWEEN(1,8))</f>
        <v>Jacket</v>
      </c>
      <c r="D299" t="str">
        <f ca="1">_xlfn.XLOOKUP(C299,Products!A:A,Products!B:B)</f>
        <v>Training Wear</v>
      </c>
      <c r="E299" t="str" cm="1">
        <f t="array" aca="1" ref="E299" ca="1">INDEX(Regions!$A$2:$A$7,RANDBETWEEN(1,6))</f>
        <v>Cork</v>
      </c>
      <c r="F299">
        <f t="shared" ca="1" si="18"/>
        <v>4</v>
      </c>
      <c r="G299">
        <f ca="1">VLOOKUP(C299,Products!$A$2:$C$9,3,FALSE)</f>
        <v>90</v>
      </c>
      <c r="H299">
        <f t="shared" ca="1" si="19"/>
        <v>360</v>
      </c>
    </row>
    <row r="300" spans="1:8" x14ac:dyDescent="0.35">
      <c r="A300">
        <f t="shared" si="16"/>
        <v>1299</v>
      </c>
      <c r="B300" s="2">
        <f t="shared" ca="1" si="17"/>
        <v>45941</v>
      </c>
      <c r="C300" t="str" cm="1">
        <f t="array" aca="1" ref="C300" ca="1">INDEX(Products!$A$2:$A$9,RANDBETWEEN(1,8))</f>
        <v>Scarf</v>
      </c>
      <c r="D300" t="str">
        <f ca="1">_xlfn.XLOOKUP(C300,Products!A:A,Products!B:B)</f>
        <v>Accessories</v>
      </c>
      <c r="E300" t="str" cm="1">
        <f t="array" aca="1" ref="E300" ca="1">INDEX(Regions!$A$2:$A$7,RANDBETWEEN(1,6))</f>
        <v>Galway</v>
      </c>
      <c r="F300">
        <f t="shared" ca="1" si="18"/>
        <v>4</v>
      </c>
      <c r="G300">
        <f ca="1">VLOOKUP(C300,Products!$A$2:$C$9,3,FALSE)</f>
        <v>20</v>
      </c>
      <c r="H300">
        <f t="shared" ca="1" si="19"/>
        <v>80</v>
      </c>
    </row>
    <row r="301" spans="1:8" x14ac:dyDescent="0.35">
      <c r="A301">
        <f t="shared" si="16"/>
        <v>1300</v>
      </c>
      <c r="B301" s="2">
        <f t="shared" ca="1" si="17"/>
        <v>46006</v>
      </c>
      <c r="C301" t="str" cm="1">
        <f t="array" aca="1" ref="C301" ca="1">INDEX(Products!$A$2:$A$9,RANDBETWEEN(1,8))</f>
        <v>Away Jersey</v>
      </c>
      <c r="D301" t="str">
        <f ca="1">_xlfn.XLOOKUP(C301,Products!A:A,Products!B:B)</f>
        <v>Jerseys</v>
      </c>
      <c r="E301" t="str" cm="1">
        <f t="array" aca="1" ref="E301" ca="1">INDEX(Regions!$A$2:$A$7,RANDBETWEEN(1,6))</f>
        <v>Cork</v>
      </c>
      <c r="F301">
        <f t="shared" ca="1" si="18"/>
        <v>3</v>
      </c>
      <c r="G301">
        <f ca="1">VLOOKUP(C301,Products!$A$2:$C$9,3,FALSE)</f>
        <v>80</v>
      </c>
      <c r="H301">
        <f t="shared" ca="1" si="19"/>
        <v>240</v>
      </c>
    </row>
    <row r="302" spans="1:8" x14ac:dyDescent="0.35">
      <c r="A302">
        <f t="shared" si="16"/>
        <v>1301</v>
      </c>
      <c r="B302" s="2">
        <f t="shared" ca="1" si="17"/>
        <v>45688</v>
      </c>
      <c r="C302" t="str" cm="1">
        <f t="array" aca="1" ref="C302" ca="1">INDEX(Products!$A$2:$A$9,RANDBETWEEN(1,8))</f>
        <v>Away Jersey</v>
      </c>
      <c r="D302" t="str">
        <f ca="1">_xlfn.XLOOKUP(C302,Products!A:A,Products!B:B)</f>
        <v>Jerseys</v>
      </c>
      <c r="E302" t="str" cm="1">
        <f t="array" aca="1" ref="E302" ca="1">INDEX(Regions!$A$2:$A$7,RANDBETWEEN(1,6))</f>
        <v>Dublin</v>
      </c>
      <c r="F302">
        <f t="shared" ca="1" si="18"/>
        <v>5</v>
      </c>
      <c r="G302">
        <f ca="1">VLOOKUP(C302,Products!$A$2:$C$9,3,FALSE)</f>
        <v>80</v>
      </c>
      <c r="H302">
        <f t="shared" ca="1" si="19"/>
        <v>400</v>
      </c>
    </row>
    <row r="303" spans="1:8" x14ac:dyDescent="0.35">
      <c r="A303">
        <f t="shared" si="16"/>
        <v>1302</v>
      </c>
      <c r="B303" s="2">
        <f t="shared" ca="1" si="17"/>
        <v>45598</v>
      </c>
      <c r="C303" t="str" cm="1">
        <f t="array" aca="1" ref="C303" ca="1">INDEX(Products!$A$2:$A$9,RANDBETWEEN(1,8))</f>
        <v>Football</v>
      </c>
      <c r="D303" t="str">
        <f ca="1">_xlfn.XLOOKUP(C303,Products!A:A,Products!B:B)</f>
        <v>Equipment</v>
      </c>
      <c r="E303" t="str" cm="1">
        <f t="array" aca="1" ref="E303" ca="1">INDEX(Regions!$A$2:$A$7,RANDBETWEEN(1,6))</f>
        <v>Dublin</v>
      </c>
      <c r="F303">
        <f t="shared" ca="1" si="18"/>
        <v>3</v>
      </c>
      <c r="G303">
        <f ca="1">VLOOKUP(C303,Products!$A$2:$C$9,3,FALSE)</f>
        <v>30</v>
      </c>
      <c r="H303">
        <f t="shared" ca="1" si="19"/>
        <v>90</v>
      </c>
    </row>
    <row r="304" spans="1:8" x14ac:dyDescent="0.35">
      <c r="A304">
        <f t="shared" si="16"/>
        <v>1303</v>
      </c>
      <c r="B304" s="2">
        <f t="shared" ca="1" si="17"/>
        <v>45651</v>
      </c>
      <c r="C304" t="str" cm="1">
        <f t="array" aca="1" ref="C304" ca="1">INDEX(Products!$A$2:$A$9,RANDBETWEEN(1,8))</f>
        <v>Hat</v>
      </c>
      <c r="D304" t="str">
        <f ca="1">_xlfn.XLOOKUP(C304,Products!A:A,Products!B:B)</f>
        <v>Accessories</v>
      </c>
      <c r="E304" t="str" cm="1">
        <f t="array" aca="1" ref="E304" ca="1">INDEX(Regions!$A$2:$A$7,RANDBETWEEN(1,6))</f>
        <v>Waterford</v>
      </c>
      <c r="F304">
        <f t="shared" ca="1" si="18"/>
        <v>3</v>
      </c>
      <c r="G304">
        <f ca="1">VLOOKUP(C304,Products!$A$2:$C$9,3,FALSE)</f>
        <v>25</v>
      </c>
      <c r="H304">
        <f t="shared" ca="1" si="19"/>
        <v>75</v>
      </c>
    </row>
    <row r="305" spans="1:8" x14ac:dyDescent="0.35">
      <c r="A305">
        <f t="shared" si="16"/>
        <v>1304</v>
      </c>
      <c r="B305" s="2">
        <f t="shared" ca="1" si="17"/>
        <v>45613</v>
      </c>
      <c r="C305" t="str" cm="1">
        <f t="array" aca="1" ref="C305" ca="1">INDEX(Products!$A$2:$A$9,RANDBETWEEN(1,8))</f>
        <v>Scarf</v>
      </c>
      <c r="D305" t="str">
        <f ca="1">_xlfn.XLOOKUP(C305,Products!A:A,Products!B:B)</f>
        <v>Accessories</v>
      </c>
      <c r="E305" t="str" cm="1">
        <f t="array" aca="1" ref="E305" ca="1">INDEX(Regions!$A$2:$A$7,RANDBETWEEN(1,6))</f>
        <v>Limerick</v>
      </c>
      <c r="F305">
        <f t="shared" ca="1" si="18"/>
        <v>2</v>
      </c>
      <c r="G305">
        <f ca="1">VLOOKUP(C305,Products!$A$2:$C$9,3,FALSE)</f>
        <v>20</v>
      </c>
      <c r="H305">
        <f t="shared" ca="1" si="19"/>
        <v>40</v>
      </c>
    </row>
    <row r="306" spans="1:8" x14ac:dyDescent="0.35">
      <c r="A306">
        <f t="shared" si="16"/>
        <v>1305</v>
      </c>
      <c r="B306" s="2">
        <f t="shared" ca="1" si="17"/>
        <v>45501</v>
      </c>
      <c r="C306" t="str" cm="1">
        <f t="array" aca="1" ref="C306" ca="1">INDEX(Products!$A$2:$A$9,RANDBETWEEN(1,8))</f>
        <v>Football</v>
      </c>
      <c r="D306" t="str">
        <f ca="1">_xlfn.XLOOKUP(C306,Products!A:A,Products!B:B)</f>
        <v>Equipment</v>
      </c>
      <c r="E306" t="str" cm="1">
        <f t="array" aca="1" ref="E306" ca="1">INDEX(Regions!$A$2:$A$7,RANDBETWEEN(1,6))</f>
        <v>Dublin</v>
      </c>
      <c r="F306">
        <f t="shared" ca="1" si="18"/>
        <v>2</v>
      </c>
      <c r="G306">
        <f ca="1">VLOOKUP(C306,Products!$A$2:$C$9,3,FALSE)</f>
        <v>30</v>
      </c>
      <c r="H306">
        <f t="shared" ca="1" si="19"/>
        <v>60</v>
      </c>
    </row>
    <row r="307" spans="1:8" x14ac:dyDescent="0.35">
      <c r="A307">
        <f t="shared" si="16"/>
        <v>1306</v>
      </c>
      <c r="B307" s="2">
        <f t="shared" ca="1" si="17"/>
        <v>45779</v>
      </c>
      <c r="C307" t="str" cm="1">
        <f t="array" aca="1" ref="C307" ca="1">INDEX(Products!$A$2:$A$9,RANDBETWEEN(1,8))</f>
        <v>Away Jersey</v>
      </c>
      <c r="D307" t="str">
        <f ca="1">_xlfn.XLOOKUP(C307,Products!A:A,Products!B:B)</f>
        <v>Jerseys</v>
      </c>
      <c r="E307" t="str" cm="1">
        <f t="array" aca="1" ref="E307" ca="1">INDEX(Regions!$A$2:$A$7,RANDBETWEEN(1,6))</f>
        <v>Cork</v>
      </c>
      <c r="F307">
        <f t="shared" ca="1" si="18"/>
        <v>2</v>
      </c>
      <c r="G307">
        <f ca="1">VLOOKUP(C307,Products!$A$2:$C$9,3,FALSE)</f>
        <v>80</v>
      </c>
      <c r="H307">
        <f t="shared" ca="1" si="19"/>
        <v>160</v>
      </c>
    </row>
    <row r="308" spans="1:8" x14ac:dyDescent="0.35">
      <c r="A308">
        <f t="shared" si="16"/>
        <v>1307</v>
      </c>
      <c r="B308" s="2">
        <f t="shared" ca="1" si="17"/>
        <v>45545</v>
      </c>
      <c r="C308" t="str" cm="1">
        <f t="array" aca="1" ref="C308" ca="1">INDEX(Products!$A$2:$A$9,RANDBETWEEN(1,8))</f>
        <v>Hat</v>
      </c>
      <c r="D308" t="str">
        <f ca="1">_xlfn.XLOOKUP(C308,Products!A:A,Products!B:B)</f>
        <v>Accessories</v>
      </c>
      <c r="E308" t="str" cm="1">
        <f t="array" aca="1" ref="E308" ca="1">INDEX(Regions!$A$2:$A$7,RANDBETWEEN(1,6))</f>
        <v>Galway</v>
      </c>
      <c r="F308">
        <f t="shared" ca="1" si="18"/>
        <v>1</v>
      </c>
      <c r="G308">
        <f ca="1">VLOOKUP(C308,Products!$A$2:$C$9,3,FALSE)</f>
        <v>25</v>
      </c>
      <c r="H308">
        <f t="shared" ca="1" si="19"/>
        <v>25</v>
      </c>
    </row>
    <row r="309" spans="1:8" x14ac:dyDescent="0.35">
      <c r="A309">
        <f t="shared" si="16"/>
        <v>1308</v>
      </c>
      <c r="B309" s="2">
        <f t="shared" ca="1" si="17"/>
        <v>45571</v>
      </c>
      <c r="C309" t="str" cm="1">
        <f t="array" aca="1" ref="C309" ca="1">INDEX(Products!$A$2:$A$9,RANDBETWEEN(1,8))</f>
        <v>Hat</v>
      </c>
      <c r="D309" t="str">
        <f ca="1">_xlfn.XLOOKUP(C309,Products!A:A,Products!B:B)</f>
        <v>Accessories</v>
      </c>
      <c r="E309" t="str" cm="1">
        <f t="array" aca="1" ref="E309" ca="1">INDEX(Regions!$A$2:$A$7,RANDBETWEEN(1,6))</f>
        <v>Belfast</v>
      </c>
      <c r="F309">
        <f t="shared" ca="1" si="18"/>
        <v>5</v>
      </c>
      <c r="G309">
        <f ca="1">VLOOKUP(C309,Products!$A$2:$C$9,3,FALSE)</f>
        <v>25</v>
      </c>
      <c r="H309">
        <f t="shared" ca="1" si="19"/>
        <v>125</v>
      </c>
    </row>
    <row r="310" spans="1:8" x14ac:dyDescent="0.35">
      <c r="A310">
        <f t="shared" si="16"/>
        <v>1309</v>
      </c>
      <c r="B310" s="2">
        <f t="shared" ca="1" si="17"/>
        <v>45782</v>
      </c>
      <c r="C310" t="str" cm="1">
        <f t="array" aca="1" ref="C310" ca="1">INDEX(Products!$A$2:$A$9,RANDBETWEEN(1,8))</f>
        <v>Away Jersey</v>
      </c>
      <c r="D310" t="str">
        <f ca="1">_xlfn.XLOOKUP(C310,Products!A:A,Products!B:B)</f>
        <v>Jerseys</v>
      </c>
      <c r="E310" t="str" cm="1">
        <f t="array" aca="1" ref="E310" ca="1">INDEX(Regions!$A$2:$A$7,RANDBETWEEN(1,6))</f>
        <v>Cork</v>
      </c>
      <c r="F310">
        <f t="shared" ca="1" si="18"/>
        <v>3</v>
      </c>
      <c r="G310">
        <f ca="1">VLOOKUP(C310,Products!$A$2:$C$9,3,FALSE)</f>
        <v>80</v>
      </c>
      <c r="H310">
        <f t="shared" ca="1" si="19"/>
        <v>240</v>
      </c>
    </row>
    <row r="311" spans="1:8" x14ac:dyDescent="0.35">
      <c r="A311">
        <f t="shared" si="16"/>
        <v>1310</v>
      </c>
      <c r="B311" s="2">
        <f t="shared" ca="1" si="17"/>
        <v>45964</v>
      </c>
      <c r="C311" t="str" cm="1">
        <f t="array" aca="1" ref="C311" ca="1">INDEX(Products!$A$2:$A$9,RANDBETWEEN(1,8))</f>
        <v>Jacket</v>
      </c>
      <c r="D311" t="str">
        <f ca="1">_xlfn.XLOOKUP(C311,Products!A:A,Products!B:B)</f>
        <v>Training Wear</v>
      </c>
      <c r="E311" t="str" cm="1">
        <f t="array" aca="1" ref="E311" ca="1">INDEX(Regions!$A$2:$A$7,RANDBETWEEN(1,6))</f>
        <v>Belfast</v>
      </c>
      <c r="F311">
        <f t="shared" ca="1" si="18"/>
        <v>5</v>
      </c>
      <c r="G311">
        <f ca="1">VLOOKUP(C311,Products!$A$2:$C$9,3,FALSE)</f>
        <v>90</v>
      </c>
      <c r="H311">
        <f t="shared" ca="1" si="19"/>
        <v>450</v>
      </c>
    </row>
    <row r="312" spans="1:8" x14ac:dyDescent="0.35">
      <c r="A312">
        <f t="shared" si="16"/>
        <v>1311</v>
      </c>
      <c r="B312" s="2">
        <f t="shared" ca="1" si="17"/>
        <v>45627</v>
      </c>
      <c r="C312" t="str" cm="1">
        <f t="array" aca="1" ref="C312" ca="1">INDEX(Products!$A$2:$A$9,RANDBETWEEN(1,8))</f>
        <v>Training Top</v>
      </c>
      <c r="D312" t="str">
        <f ca="1">_xlfn.XLOOKUP(C312,Products!A:A,Products!B:B)</f>
        <v>Training Wear</v>
      </c>
      <c r="E312" t="str" cm="1">
        <f t="array" aca="1" ref="E312" ca="1">INDEX(Regions!$A$2:$A$7,RANDBETWEEN(1,6))</f>
        <v>Waterford</v>
      </c>
      <c r="F312">
        <f t="shared" ca="1" si="18"/>
        <v>3</v>
      </c>
      <c r="G312">
        <f ca="1">VLOOKUP(C312,Products!$A$2:$C$9,3,FALSE)</f>
        <v>55</v>
      </c>
      <c r="H312">
        <f t="shared" ca="1" si="19"/>
        <v>165</v>
      </c>
    </row>
    <row r="313" spans="1:8" x14ac:dyDescent="0.35">
      <c r="A313">
        <f t="shared" si="16"/>
        <v>1312</v>
      </c>
      <c r="B313" s="2">
        <f t="shared" ca="1" si="17"/>
        <v>45383</v>
      </c>
      <c r="C313" t="str" cm="1">
        <f t="array" aca="1" ref="C313" ca="1">INDEX(Products!$A$2:$A$9,RANDBETWEEN(1,8))</f>
        <v>Scarf</v>
      </c>
      <c r="D313" t="str">
        <f ca="1">_xlfn.XLOOKUP(C313,Products!A:A,Products!B:B)</f>
        <v>Accessories</v>
      </c>
      <c r="E313" t="str" cm="1">
        <f t="array" aca="1" ref="E313" ca="1">INDEX(Regions!$A$2:$A$7,RANDBETWEEN(1,6))</f>
        <v>Belfast</v>
      </c>
      <c r="F313">
        <f t="shared" ca="1" si="18"/>
        <v>3</v>
      </c>
      <c r="G313">
        <f ca="1">VLOOKUP(C313,Products!$A$2:$C$9,3,FALSE)</f>
        <v>20</v>
      </c>
      <c r="H313">
        <f t="shared" ca="1" si="19"/>
        <v>60</v>
      </c>
    </row>
    <row r="314" spans="1:8" x14ac:dyDescent="0.35">
      <c r="A314">
        <f t="shared" si="16"/>
        <v>1313</v>
      </c>
      <c r="B314" s="2">
        <f t="shared" ca="1" si="17"/>
        <v>45826</v>
      </c>
      <c r="C314" t="str" cm="1">
        <f t="array" aca="1" ref="C314" ca="1">INDEX(Products!$A$2:$A$9,RANDBETWEEN(1,8))</f>
        <v>Jacket</v>
      </c>
      <c r="D314" t="str">
        <f ca="1">_xlfn.XLOOKUP(C314,Products!A:A,Products!B:B)</f>
        <v>Training Wear</v>
      </c>
      <c r="E314" t="str" cm="1">
        <f t="array" aca="1" ref="E314" ca="1">INDEX(Regions!$A$2:$A$7,RANDBETWEEN(1,6))</f>
        <v>Galway</v>
      </c>
      <c r="F314">
        <f t="shared" ca="1" si="18"/>
        <v>3</v>
      </c>
      <c r="G314">
        <f ca="1">VLOOKUP(C314,Products!$A$2:$C$9,3,FALSE)</f>
        <v>90</v>
      </c>
      <c r="H314">
        <f t="shared" ca="1" si="19"/>
        <v>270</v>
      </c>
    </row>
    <row r="315" spans="1:8" x14ac:dyDescent="0.35">
      <c r="A315">
        <f t="shared" si="16"/>
        <v>1314</v>
      </c>
      <c r="B315" s="2">
        <f t="shared" ca="1" si="17"/>
        <v>45919</v>
      </c>
      <c r="C315" t="str" cm="1">
        <f t="array" aca="1" ref="C315" ca="1">INDEX(Products!$A$2:$A$9,RANDBETWEEN(1,8))</f>
        <v>Away Jersey</v>
      </c>
      <c r="D315" t="str">
        <f ca="1">_xlfn.XLOOKUP(C315,Products!A:A,Products!B:B)</f>
        <v>Jerseys</v>
      </c>
      <c r="E315" t="str" cm="1">
        <f t="array" aca="1" ref="E315" ca="1">INDEX(Regions!$A$2:$A$7,RANDBETWEEN(1,6))</f>
        <v>Cork</v>
      </c>
      <c r="F315">
        <f t="shared" ca="1" si="18"/>
        <v>5</v>
      </c>
      <c r="G315">
        <f ca="1">VLOOKUP(C315,Products!$A$2:$C$9,3,FALSE)</f>
        <v>80</v>
      </c>
      <c r="H315">
        <f t="shared" ca="1" si="19"/>
        <v>400</v>
      </c>
    </row>
    <row r="316" spans="1:8" x14ac:dyDescent="0.35">
      <c r="A316">
        <f t="shared" si="16"/>
        <v>1315</v>
      </c>
      <c r="B316" s="2">
        <f t="shared" ca="1" si="17"/>
        <v>45729</v>
      </c>
      <c r="C316" t="str" cm="1">
        <f t="array" aca="1" ref="C316" ca="1">INDEX(Products!$A$2:$A$9,RANDBETWEEN(1,8))</f>
        <v>Home Jersey</v>
      </c>
      <c r="D316" t="str">
        <f ca="1">_xlfn.XLOOKUP(C316,Products!A:A,Products!B:B)</f>
        <v>Jerseys</v>
      </c>
      <c r="E316" t="str" cm="1">
        <f t="array" aca="1" ref="E316" ca="1">INDEX(Regions!$A$2:$A$7,RANDBETWEEN(1,6))</f>
        <v>Belfast</v>
      </c>
      <c r="F316">
        <f t="shared" ca="1" si="18"/>
        <v>4</v>
      </c>
      <c r="G316">
        <f ca="1">VLOOKUP(C316,Products!$A$2:$C$9,3,FALSE)</f>
        <v>80</v>
      </c>
      <c r="H316">
        <f t="shared" ca="1" si="19"/>
        <v>320</v>
      </c>
    </row>
    <row r="317" spans="1:8" x14ac:dyDescent="0.35">
      <c r="A317">
        <f t="shared" si="16"/>
        <v>1316</v>
      </c>
      <c r="B317" s="2">
        <f t="shared" ca="1" si="17"/>
        <v>45635</v>
      </c>
      <c r="C317" t="str" cm="1">
        <f t="array" aca="1" ref="C317" ca="1">INDEX(Products!$A$2:$A$9,RANDBETWEEN(1,8))</f>
        <v>Away Jersey</v>
      </c>
      <c r="D317" t="str">
        <f ca="1">_xlfn.XLOOKUP(C317,Products!A:A,Products!B:B)</f>
        <v>Jerseys</v>
      </c>
      <c r="E317" t="str" cm="1">
        <f t="array" aca="1" ref="E317" ca="1">INDEX(Regions!$A$2:$A$7,RANDBETWEEN(1,6))</f>
        <v>Galway</v>
      </c>
      <c r="F317">
        <f t="shared" ca="1" si="18"/>
        <v>2</v>
      </c>
      <c r="G317">
        <f ca="1">VLOOKUP(C317,Products!$A$2:$C$9,3,FALSE)</f>
        <v>80</v>
      </c>
      <c r="H317">
        <f t="shared" ca="1" si="19"/>
        <v>160</v>
      </c>
    </row>
    <row r="318" spans="1:8" x14ac:dyDescent="0.35">
      <c r="A318">
        <f t="shared" si="16"/>
        <v>1317</v>
      </c>
      <c r="B318" s="2">
        <f t="shared" ca="1" si="17"/>
        <v>45616</v>
      </c>
      <c r="C318" t="str" cm="1">
        <f t="array" aca="1" ref="C318" ca="1">INDEX(Products!$A$2:$A$9,RANDBETWEEN(1,8))</f>
        <v>Training Top</v>
      </c>
      <c r="D318" t="str">
        <f ca="1">_xlfn.XLOOKUP(C318,Products!A:A,Products!B:B)</f>
        <v>Training Wear</v>
      </c>
      <c r="E318" t="str" cm="1">
        <f t="array" aca="1" ref="E318" ca="1">INDEX(Regions!$A$2:$A$7,RANDBETWEEN(1,6))</f>
        <v>Waterford</v>
      </c>
      <c r="F318">
        <f t="shared" ca="1" si="18"/>
        <v>1</v>
      </c>
      <c r="G318">
        <f ca="1">VLOOKUP(C318,Products!$A$2:$C$9,3,FALSE)</f>
        <v>55</v>
      </c>
      <c r="H318">
        <f t="shared" ca="1" si="19"/>
        <v>55</v>
      </c>
    </row>
    <row r="319" spans="1:8" x14ac:dyDescent="0.35">
      <c r="A319">
        <f t="shared" si="16"/>
        <v>1318</v>
      </c>
      <c r="B319" s="2">
        <f t="shared" ca="1" si="17"/>
        <v>45486</v>
      </c>
      <c r="C319" t="str" cm="1">
        <f t="array" aca="1" ref="C319" ca="1">INDEX(Products!$A$2:$A$9,RANDBETWEEN(1,8))</f>
        <v>Jacket</v>
      </c>
      <c r="D319" t="str">
        <f ca="1">_xlfn.XLOOKUP(C319,Products!A:A,Products!B:B)</f>
        <v>Training Wear</v>
      </c>
      <c r="E319" t="str" cm="1">
        <f t="array" aca="1" ref="E319" ca="1">INDEX(Regions!$A$2:$A$7,RANDBETWEEN(1,6))</f>
        <v>Dublin</v>
      </c>
      <c r="F319">
        <f t="shared" ca="1" si="18"/>
        <v>3</v>
      </c>
      <c r="G319">
        <f ca="1">VLOOKUP(C319,Products!$A$2:$C$9,3,FALSE)</f>
        <v>90</v>
      </c>
      <c r="H319">
        <f t="shared" ca="1" si="19"/>
        <v>270</v>
      </c>
    </row>
    <row r="320" spans="1:8" x14ac:dyDescent="0.35">
      <c r="A320">
        <f t="shared" si="16"/>
        <v>1319</v>
      </c>
      <c r="B320" s="2">
        <f t="shared" ca="1" si="17"/>
        <v>45830</v>
      </c>
      <c r="C320" t="str" cm="1">
        <f t="array" aca="1" ref="C320" ca="1">INDEX(Products!$A$2:$A$9,RANDBETWEEN(1,8))</f>
        <v>Home Jersey</v>
      </c>
      <c r="D320" t="str">
        <f ca="1">_xlfn.XLOOKUP(C320,Products!A:A,Products!B:B)</f>
        <v>Jerseys</v>
      </c>
      <c r="E320" t="str" cm="1">
        <f t="array" aca="1" ref="E320" ca="1">INDEX(Regions!$A$2:$A$7,RANDBETWEEN(1,6))</f>
        <v>Waterford</v>
      </c>
      <c r="F320">
        <f t="shared" ca="1" si="18"/>
        <v>2</v>
      </c>
      <c r="G320">
        <f ca="1">VLOOKUP(C320,Products!$A$2:$C$9,3,FALSE)</f>
        <v>80</v>
      </c>
      <c r="H320">
        <f t="shared" ca="1" si="19"/>
        <v>160</v>
      </c>
    </row>
    <row r="321" spans="1:8" x14ac:dyDescent="0.35">
      <c r="A321">
        <f t="shared" si="16"/>
        <v>1320</v>
      </c>
      <c r="B321" s="2">
        <f t="shared" ca="1" si="17"/>
        <v>45835</v>
      </c>
      <c r="C321" t="str" cm="1">
        <f t="array" aca="1" ref="C321" ca="1">INDEX(Products!$A$2:$A$9,RANDBETWEEN(1,8))</f>
        <v>Jacket</v>
      </c>
      <c r="D321" t="str">
        <f ca="1">_xlfn.XLOOKUP(C321,Products!A:A,Products!B:B)</f>
        <v>Training Wear</v>
      </c>
      <c r="E321" t="str" cm="1">
        <f t="array" aca="1" ref="E321" ca="1">INDEX(Regions!$A$2:$A$7,RANDBETWEEN(1,6))</f>
        <v>Limerick</v>
      </c>
      <c r="F321">
        <f t="shared" ca="1" si="18"/>
        <v>5</v>
      </c>
      <c r="G321">
        <f ca="1">VLOOKUP(C321,Products!$A$2:$C$9,3,FALSE)</f>
        <v>90</v>
      </c>
      <c r="H321">
        <f t="shared" ca="1" si="19"/>
        <v>450</v>
      </c>
    </row>
    <row r="322" spans="1:8" x14ac:dyDescent="0.35">
      <c r="A322">
        <f t="shared" si="16"/>
        <v>1321</v>
      </c>
      <c r="B322" s="2">
        <f t="shared" ca="1" si="17"/>
        <v>45367</v>
      </c>
      <c r="C322" t="str" cm="1">
        <f t="array" aca="1" ref="C322" ca="1">INDEX(Products!$A$2:$A$9,RANDBETWEEN(1,8))</f>
        <v>Hat</v>
      </c>
      <c r="D322" t="str">
        <f ca="1">_xlfn.XLOOKUP(C322,Products!A:A,Products!B:B)</f>
        <v>Accessories</v>
      </c>
      <c r="E322" t="str" cm="1">
        <f t="array" aca="1" ref="E322" ca="1">INDEX(Regions!$A$2:$A$7,RANDBETWEEN(1,6))</f>
        <v>Dublin</v>
      </c>
      <c r="F322">
        <f t="shared" ca="1" si="18"/>
        <v>2</v>
      </c>
      <c r="G322">
        <f ca="1">VLOOKUP(C322,Products!$A$2:$C$9,3,FALSE)</f>
        <v>25</v>
      </c>
      <c r="H322">
        <f t="shared" ca="1" si="19"/>
        <v>50</v>
      </c>
    </row>
    <row r="323" spans="1:8" x14ac:dyDescent="0.35">
      <c r="A323">
        <f t="shared" ref="A323:A386" si="20">ROW()+999</f>
        <v>1322</v>
      </c>
      <c r="B323" s="2">
        <f t="shared" ref="B323:B386" ca="1" si="21">DATE(2024,1,1)+RANDBETWEEN(0,730)</f>
        <v>45701</v>
      </c>
      <c r="C323" t="str" cm="1">
        <f t="array" aca="1" ref="C323" ca="1">INDEX(Products!$A$2:$A$9,RANDBETWEEN(1,8))</f>
        <v>Training Top</v>
      </c>
      <c r="D323" t="str">
        <f ca="1">_xlfn.XLOOKUP(C323,Products!A:A,Products!B:B)</f>
        <v>Training Wear</v>
      </c>
      <c r="E323" t="str" cm="1">
        <f t="array" aca="1" ref="E323" ca="1">INDEX(Regions!$A$2:$A$7,RANDBETWEEN(1,6))</f>
        <v>Limerick</v>
      </c>
      <c r="F323">
        <f t="shared" ref="F323:F386" ca="1" si="22">RANDBETWEEN(1,5)</f>
        <v>1</v>
      </c>
      <c r="G323">
        <f ca="1">VLOOKUP(C323,Products!$A$2:$C$9,3,FALSE)</f>
        <v>55</v>
      </c>
      <c r="H323">
        <f t="shared" ref="H323:H386" ca="1" si="23">F323*G323</f>
        <v>55</v>
      </c>
    </row>
    <row r="324" spans="1:8" x14ac:dyDescent="0.35">
      <c r="A324">
        <f t="shared" si="20"/>
        <v>1323</v>
      </c>
      <c r="B324" s="2">
        <f t="shared" ca="1" si="21"/>
        <v>45466</v>
      </c>
      <c r="C324" t="str" cm="1">
        <f t="array" aca="1" ref="C324" ca="1">INDEX(Products!$A$2:$A$9,RANDBETWEEN(1,8))</f>
        <v>Jacket</v>
      </c>
      <c r="D324" t="str">
        <f ca="1">_xlfn.XLOOKUP(C324,Products!A:A,Products!B:B)</f>
        <v>Training Wear</v>
      </c>
      <c r="E324" t="str" cm="1">
        <f t="array" aca="1" ref="E324" ca="1">INDEX(Regions!$A$2:$A$7,RANDBETWEEN(1,6))</f>
        <v>Dublin</v>
      </c>
      <c r="F324">
        <f t="shared" ca="1" si="22"/>
        <v>1</v>
      </c>
      <c r="G324">
        <f ca="1">VLOOKUP(C324,Products!$A$2:$C$9,3,FALSE)</f>
        <v>90</v>
      </c>
      <c r="H324">
        <f t="shared" ca="1" si="23"/>
        <v>90</v>
      </c>
    </row>
    <row r="325" spans="1:8" x14ac:dyDescent="0.35">
      <c r="A325">
        <f t="shared" si="20"/>
        <v>1324</v>
      </c>
      <c r="B325" s="2">
        <f t="shared" ca="1" si="21"/>
        <v>45366</v>
      </c>
      <c r="C325" t="str" cm="1">
        <f t="array" aca="1" ref="C325" ca="1">INDEX(Products!$A$2:$A$9,RANDBETWEEN(1,8))</f>
        <v>Away Jersey</v>
      </c>
      <c r="D325" t="str">
        <f ca="1">_xlfn.XLOOKUP(C325,Products!A:A,Products!B:B)</f>
        <v>Jerseys</v>
      </c>
      <c r="E325" t="str" cm="1">
        <f t="array" aca="1" ref="E325" ca="1">INDEX(Regions!$A$2:$A$7,RANDBETWEEN(1,6))</f>
        <v>Limerick</v>
      </c>
      <c r="F325">
        <f t="shared" ca="1" si="22"/>
        <v>1</v>
      </c>
      <c r="G325">
        <f ca="1">VLOOKUP(C325,Products!$A$2:$C$9,3,FALSE)</f>
        <v>80</v>
      </c>
      <c r="H325">
        <f t="shared" ca="1" si="23"/>
        <v>80</v>
      </c>
    </row>
    <row r="326" spans="1:8" x14ac:dyDescent="0.35">
      <c r="A326">
        <f t="shared" si="20"/>
        <v>1325</v>
      </c>
      <c r="B326" s="2">
        <f t="shared" ca="1" si="21"/>
        <v>46018</v>
      </c>
      <c r="C326" t="str" cm="1">
        <f t="array" aca="1" ref="C326" ca="1">INDEX(Products!$A$2:$A$9,RANDBETWEEN(1,8))</f>
        <v>Home Jersey</v>
      </c>
      <c r="D326" t="str">
        <f ca="1">_xlfn.XLOOKUP(C326,Products!A:A,Products!B:B)</f>
        <v>Jerseys</v>
      </c>
      <c r="E326" t="str" cm="1">
        <f t="array" aca="1" ref="E326" ca="1">INDEX(Regions!$A$2:$A$7,RANDBETWEEN(1,6))</f>
        <v>Cork</v>
      </c>
      <c r="F326">
        <f t="shared" ca="1" si="22"/>
        <v>5</v>
      </c>
      <c r="G326">
        <f ca="1">VLOOKUP(C326,Products!$A$2:$C$9,3,FALSE)</f>
        <v>80</v>
      </c>
      <c r="H326">
        <f t="shared" ca="1" si="23"/>
        <v>400</v>
      </c>
    </row>
    <row r="327" spans="1:8" x14ac:dyDescent="0.35">
      <c r="A327">
        <f t="shared" si="20"/>
        <v>1326</v>
      </c>
      <c r="B327" s="2">
        <f t="shared" ca="1" si="21"/>
        <v>45470</v>
      </c>
      <c r="C327" t="str" cm="1">
        <f t="array" aca="1" ref="C327" ca="1">INDEX(Products!$A$2:$A$9,RANDBETWEEN(1,8))</f>
        <v>Training Top</v>
      </c>
      <c r="D327" t="str">
        <f ca="1">_xlfn.XLOOKUP(C327,Products!A:A,Products!B:B)</f>
        <v>Training Wear</v>
      </c>
      <c r="E327" t="str" cm="1">
        <f t="array" aca="1" ref="E327" ca="1">INDEX(Regions!$A$2:$A$7,RANDBETWEEN(1,6))</f>
        <v>Waterford</v>
      </c>
      <c r="F327">
        <f t="shared" ca="1" si="22"/>
        <v>3</v>
      </c>
      <c r="G327">
        <f ca="1">VLOOKUP(C327,Products!$A$2:$C$9,3,FALSE)</f>
        <v>55</v>
      </c>
      <c r="H327">
        <f t="shared" ca="1" si="23"/>
        <v>165</v>
      </c>
    </row>
    <row r="328" spans="1:8" x14ac:dyDescent="0.35">
      <c r="A328">
        <f t="shared" si="20"/>
        <v>1327</v>
      </c>
      <c r="B328" s="2">
        <f t="shared" ca="1" si="21"/>
        <v>45373</v>
      </c>
      <c r="C328" t="str" cm="1">
        <f t="array" aca="1" ref="C328" ca="1">INDEX(Products!$A$2:$A$9,RANDBETWEEN(1,8))</f>
        <v>Scarf</v>
      </c>
      <c r="D328" t="str">
        <f ca="1">_xlfn.XLOOKUP(C328,Products!A:A,Products!B:B)</f>
        <v>Accessories</v>
      </c>
      <c r="E328" t="str" cm="1">
        <f t="array" aca="1" ref="E328" ca="1">INDEX(Regions!$A$2:$A$7,RANDBETWEEN(1,6))</f>
        <v>Cork</v>
      </c>
      <c r="F328">
        <f t="shared" ca="1" si="22"/>
        <v>4</v>
      </c>
      <c r="G328">
        <f ca="1">VLOOKUP(C328,Products!$A$2:$C$9,3,FALSE)</f>
        <v>20</v>
      </c>
      <c r="H328">
        <f t="shared" ca="1" si="23"/>
        <v>80</v>
      </c>
    </row>
    <row r="329" spans="1:8" x14ac:dyDescent="0.35">
      <c r="A329">
        <f t="shared" si="20"/>
        <v>1328</v>
      </c>
      <c r="B329" s="2">
        <f t="shared" ca="1" si="21"/>
        <v>45300</v>
      </c>
      <c r="C329" t="str" cm="1">
        <f t="array" aca="1" ref="C329" ca="1">INDEX(Products!$A$2:$A$9,RANDBETWEEN(1,8))</f>
        <v>Training Top</v>
      </c>
      <c r="D329" t="str">
        <f ca="1">_xlfn.XLOOKUP(C329,Products!A:A,Products!B:B)</f>
        <v>Training Wear</v>
      </c>
      <c r="E329" t="str" cm="1">
        <f t="array" aca="1" ref="E329" ca="1">INDEX(Regions!$A$2:$A$7,RANDBETWEEN(1,6))</f>
        <v>Limerick</v>
      </c>
      <c r="F329">
        <f t="shared" ca="1" si="22"/>
        <v>5</v>
      </c>
      <c r="G329">
        <f ca="1">VLOOKUP(C329,Products!$A$2:$C$9,3,FALSE)</f>
        <v>55</v>
      </c>
      <c r="H329">
        <f t="shared" ca="1" si="23"/>
        <v>275</v>
      </c>
    </row>
    <row r="330" spans="1:8" x14ac:dyDescent="0.35">
      <c r="A330">
        <f t="shared" si="20"/>
        <v>1329</v>
      </c>
      <c r="B330" s="2">
        <f t="shared" ca="1" si="21"/>
        <v>45878</v>
      </c>
      <c r="C330" t="str" cm="1">
        <f t="array" aca="1" ref="C330" ca="1">INDEX(Products!$A$2:$A$9,RANDBETWEEN(1,8))</f>
        <v>Away Jersey</v>
      </c>
      <c r="D330" t="str">
        <f ca="1">_xlfn.XLOOKUP(C330,Products!A:A,Products!B:B)</f>
        <v>Jerseys</v>
      </c>
      <c r="E330" t="str" cm="1">
        <f t="array" aca="1" ref="E330" ca="1">INDEX(Regions!$A$2:$A$7,RANDBETWEEN(1,6))</f>
        <v>Limerick</v>
      </c>
      <c r="F330">
        <f t="shared" ca="1" si="22"/>
        <v>5</v>
      </c>
      <c r="G330">
        <f ca="1">VLOOKUP(C330,Products!$A$2:$C$9,3,FALSE)</f>
        <v>80</v>
      </c>
      <c r="H330">
        <f t="shared" ca="1" si="23"/>
        <v>400</v>
      </c>
    </row>
    <row r="331" spans="1:8" x14ac:dyDescent="0.35">
      <c r="A331">
        <f t="shared" si="20"/>
        <v>1330</v>
      </c>
      <c r="B331" s="2">
        <f t="shared" ca="1" si="21"/>
        <v>45753</v>
      </c>
      <c r="C331" t="str" cm="1">
        <f t="array" aca="1" ref="C331" ca="1">INDEX(Products!$A$2:$A$9,RANDBETWEEN(1,8))</f>
        <v>Jacket</v>
      </c>
      <c r="D331" t="str">
        <f ca="1">_xlfn.XLOOKUP(C331,Products!A:A,Products!B:B)</f>
        <v>Training Wear</v>
      </c>
      <c r="E331" t="str" cm="1">
        <f t="array" aca="1" ref="E331" ca="1">INDEX(Regions!$A$2:$A$7,RANDBETWEEN(1,6))</f>
        <v>Waterford</v>
      </c>
      <c r="F331">
        <f t="shared" ca="1" si="22"/>
        <v>3</v>
      </c>
      <c r="G331">
        <f ca="1">VLOOKUP(C331,Products!$A$2:$C$9,3,FALSE)</f>
        <v>90</v>
      </c>
      <c r="H331">
        <f t="shared" ca="1" si="23"/>
        <v>270</v>
      </c>
    </row>
    <row r="332" spans="1:8" x14ac:dyDescent="0.35">
      <c r="A332">
        <f t="shared" si="20"/>
        <v>1331</v>
      </c>
      <c r="B332" s="2">
        <f t="shared" ca="1" si="21"/>
        <v>46017</v>
      </c>
      <c r="C332" t="str" cm="1">
        <f t="array" aca="1" ref="C332" ca="1">INDEX(Products!$A$2:$A$9,RANDBETWEEN(1,8))</f>
        <v>Away Jersey</v>
      </c>
      <c r="D332" t="str">
        <f ca="1">_xlfn.XLOOKUP(C332,Products!A:A,Products!B:B)</f>
        <v>Jerseys</v>
      </c>
      <c r="E332" t="str" cm="1">
        <f t="array" aca="1" ref="E332" ca="1">INDEX(Regions!$A$2:$A$7,RANDBETWEEN(1,6))</f>
        <v>Dublin</v>
      </c>
      <c r="F332">
        <f t="shared" ca="1" si="22"/>
        <v>5</v>
      </c>
      <c r="G332">
        <f ca="1">VLOOKUP(C332,Products!$A$2:$C$9,3,FALSE)</f>
        <v>80</v>
      </c>
      <c r="H332">
        <f t="shared" ca="1" si="23"/>
        <v>400</v>
      </c>
    </row>
    <row r="333" spans="1:8" x14ac:dyDescent="0.35">
      <c r="A333">
        <f t="shared" si="20"/>
        <v>1332</v>
      </c>
      <c r="B333" s="2">
        <f t="shared" ca="1" si="21"/>
        <v>45735</v>
      </c>
      <c r="C333" t="str" cm="1">
        <f t="array" aca="1" ref="C333" ca="1">INDEX(Products!$A$2:$A$9,RANDBETWEEN(1,8))</f>
        <v>Away Jersey</v>
      </c>
      <c r="D333" t="str">
        <f ca="1">_xlfn.XLOOKUP(C333,Products!A:A,Products!B:B)</f>
        <v>Jerseys</v>
      </c>
      <c r="E333" t="str" cm="1">
        <f t="array" aca="1" ref="E333" ca="1">INDEX(Regions!$A$2:$A$7,RANDBETWEEN(1,6))</f>
        <v>Limerick</v>
      </c>
      <c r="F333">
        <f t="shared" ca="1" si="22"/>
        <v>3</v>
      </c>
      <c r="G333">
        <f ca="1">VLOOKUP(C333,Products!$A$2:$C$9,3,FALSE)</f>
        <v>80</v>
      </c>
      <c r="H333">
        <f t="shared" ca="1" si="23"/>
        <v>240</v>
      </c>
    </row>
    <row r="334" spans="1:8" x14ac:dyDescent="0.35">
      <c r="A334">
        <f t="shared" si="20"/>
        <v>1333</v>
      </c>
      <c r="B334" s="2">
        <f t="shared" ca="1" si="21"/>
        <v>45801</v>
      </c>
      <c r="C334" t="str" cm="1">
        <f t="array" aca="1" ref="C334" ca="1">INDEX(Products!$A$2:$A$9,RANDBETWEEN(1,8))</f>
        <v>Away Jersey</v>
      </c>
      <c r="D334" t="str">
        <f ca="1">_xlfn.XLOOKUP(C334,Products!A:A,Products!B:B)</f>
        <v>Jerseys</v>
      </c>
      <c r="E334" t="str" cm="1">
        <f t="array" aca="1" ref="E334" ca="1">INDEX(Regions!$A$2:$A$7,RANDBETWEEN(1,6))</f>
        <v>Waterford</v>
      </c>
      <c r="F334">
        <f t="shared" ca="1" si="22"/>
        <v>2</v>
      </c>
      <c r="G334">
        <f ca="1">VLOOKUP(C334,Products!$A$2:$C$9,3,FALSE)</f>
        <v>80</v>
      </c>
      <c r="H334">
        <f t="shared" ca="1" si="23"/>
        <v>160</v>
      </c>
    </row>
    <row r="335" spans="1:8" x14ac:dyDescent="0.35">
      <c r="A335">
        <f t="shared" si="20"/>
        <v>1334</v>
      </c>
      <c r="B335" s="2">
        <f t="shared" ca="1" si="21"/>
        <v>45742</v>
      </c>
      <c r="C335" t="str" cm="1">
        <f t="array" aca="1" ref="C335" ca="1">INDEX(Products!$A$2:$A$9,RANDBETWEEN(1,8))</f>
        <v>Home Jersey</v>
      </c>
      <c r="D335" t="str">
        <f ca="1">_xlfn.XLOOKUP(C335,Products!A:A,Products!B:B)</f>
        <v>Jerseys</v>
      </c>
      <c r="E335" t="str" cm="1">
        <f t="array" aca="1" ref="E335" ca="1">INDEX(Regions!$A$2:$A$7,RANDBETWEEN(1,6))</f>
        <v>Limerick</v>
      </c>
      <c r="F335">
        <f t="shared" ca="1" si="22"/>
        <v>2</v>
      </c>
      <c r="G335">
        <f ca="1">VLOOKUP(C335,Products!$A$2:$C$9,3,FALSE)</f>
        <v>80</v>
      </c>
      <c r="H335">
        <f t="shared" ca="1" si="23"/>
        <v>160</v>
      </c>
    </row>
    <row r="336" spans="1:8" x14ac:dyDescent="0.35">
      <c r="A336">
        <f t="shared" si="20"/>
        <v>1335</v>
      </c>
      <c r="B336" s="2">
        <f t="shared" ca="1" si="21"/>
        <v>45797</v>
      </c>
      <c r="C336" t="str" cm="1">
        <f t="array" aca="1" ref="C336" ca="1">INDEX(Products!$A$2:$A$9,RANDBETWEEN(1,8))</f>
        <v>Third Jersey</v>
      </c>
      <c r="D336" t="str">
        <f ca="1">_xlfn.XLOOKUP(C336,Products!A:A,Products!B:B)</f>
        <v>Jerseys</v>
      </c>
      <c r="E336" t="str" cm="1">
        <f t="array" aca="1" ref="E336" ca="1">INDEX(Regions!$A$2:$A$7,RANDBETWEEN(1,6))</f>
        <v>Limerick</v>
      </c>
      <c r="F336">
        <f t="shared" ca="1" si="22"/>
        <v>5</v>
      </c>
      <c r="G336">
        <f ca="1">VLOOKUP(C336,Products!$A$2:$C$9,3,FALSE)</f>
        <v>85</v>
      </c>
      <c r="H336">
        <f t="shared" ca="1" si="23"/>
        <v>425</v>
      </c>
    </row>
    <row r="337" spans="1:8" x14ac:dyDescent="0.35">
      <c r="A337">
        <f t="shared" si="20"/>
        <v>1336</v>
      </c>
      <c r="B337" s="2">
        <f t="shared" ca="1" si="21"/>
        <v>45921</v>
      </c>
      <c r="C337" t="str" cm="1">
        <f t="array" aca="1" ref="C337" ca="1">INDEX(Products!$A$2:$A$9,RANDBETWEEN(1,8))</f>
        <v>Scarf</v>
      </c>
      <c r="D337" t="str">
        <f ca="1">_xlfn.XLOOKUP(C337,Products!A:A,Products!B:B)</f>
        <v>Accessories</v>
      </c>
      <c r="E337" t="str" cm="1">
        <f t="array" aca="1" ref="E337" ca="1">INDEX(Regions!$A$2:$A$7,RANDBETWEEN(1,6))</f>
        <v>Dublin</v>
      </c>
      <c r="F337">
        <f t="shared" ca="1" si="22"/>
        <v>4</v>
      </c>
      <c r="G337">
        <f ca="1">VLOOKUP(C337,Products!$A$2:$C$9,3,FALSE)</f>
        <v>20</v>
      </c>
      <c r="H337">
        <f t="shared" ca="1" si="23"/>
        <v>80</v>
      </c>
    </row>
    <row r="338" spans="1:8" x14ac:dyDescent="0.35">
      <c r="A338">
        <f t="shared" si="20"/>
        <v>1337</v>
      </c>
      <c r="B338" s="2">
        <f t="shared" ca="1" si="21"/>
        <v>45625</v>
      </c>
      <c r="C338" t="str" cm="1">
        <f t="array" aca="1" ref="C338" ca="1">INDEX(Products!$A$2:$A$9,RANDBETWEEN(1,8))</f>
        <v>Hat</v>
      </c>
      <c r="D338" t="str">
        <f ca="1">_xlfn.XLOOKUP(C338,Products!A:A,Products!B:B)</f>
        <v>Accessories</v>
      </c>
      <c r="E338" t="str" cm="1">
        <f t="array" aca="1" ref="E338" ca="1">INDEX(Regions!$A$2:$A$7,RANDBETWEEN(1,6))</f>
        <v>Dublin</v>
      </c>
      <c r="F338">
        <f t="shared" ca="1" si="22"/>
        <v>2</v>
      </c>
      <c r="G338">
        <f ca="1">VLOOKUP(C338,Products!$A$2:$C$9,3,FALSE)</f>
        <v>25</v>
      </c>
      <c r="H338">
        <f t="shared" ca="1" si="23"/>
        <v>50</v>
      </c>
    </row>
    <row r="339" spans="1:8" x14ac:dyDescent="0.35">
      <c r="A339">
        <f t="shared" si="20"/>
        <v>1338</v>
      </c>
      <c r="B339" s="2">
        <f t="shared" ca="1" si="21"/>
        <v>45620</v>
      </c>
      <c r="C339" t="str" cm="1">
        <f t="array" aca="1" ref="C339" ca="1">INDEX(Products!$A$2:$A$9,RANDBETWEEN(1,8))</f>
        <v>Third Jersey</v>
      </c>
      <c r="D339" t="str">
        <f ca="1">_xlfn.XLOOKUP(C339,Products!A:A,Products!B:B)</f>
        <v>Jerseys</v>
      </c>
      <c r="E339" t="str" cm="1">
        <f t="array" aca="1" ref="E339" ca="1">INDEX(Regions!$A$2:$A$7,RANDBETWEEN(1,6))</f>
        <v>Galway</v>
      </c>
      <c r="F339">
        <f t="shared" ca="1" si="22"/>
        <v>1</v>
      </c>
      <c r="G339">
        <f ca="1">VLOOKUP(C339,Products!$A$2:$C$9,3,FALSE)</f>
        <v>85</v>
      </c>
      <c r="H339">
        <f t="shared" ca="1" si="23"/>
        <v>85</v>
      </c>
    </row>
    <row r="340" spans="1:8" x14ac:dyDescent="0.35">
      <c r="A340">
        <f t="shared" si="20"/>
        <v>1339</v>
      </c>
      <c r="B340" s="2">
        <f t="shared" ca="1" si="21"/>
        <v>45299</v>
      </c>
      <c r="C340" t="str" cm="1">
        <f t="array" aca="1" ref="C340" ca="1">INDEX(Products!$A$2:$A$9,RANDBETWEEN(1,8))</f>
        <v>Away Jersey</v>
      </c>
      <c r="D340" t="str">
        <f ca="1">_xlfn.XLOOKUP(C340,Products!A:A,Products!B:B)</f>
        <v>Jerseys</v>
      </c>
      <c r="E340" t="str" cm="1">
        <f t="array" aca="1" ref="E340" ca="1">INDEX(Regions!$A$2:$A$7,RANDBETWEEN(1,6))</f>
        <v>Waterford</v>
      </c>
      <c r="F340">
        <f t="shared" ca="1" si="22"/>
        <v>3</v>
      </c>
      <c r="G340">
        <f ca="1">VLOOKUP(C340,Products!$A$2:$C$9,3,FALSE)</f>
        <v>80</v>
      </c>
      <c r="H340">
        <f t="shared" ca="1" si="23"/>
        <v>240</v>
      </c>
    </row>
    <row r="341" spans="1:8" x14ac:dyDescent="0.35">
      <c r="A341">
        <f t="shared" si="20"/>
        <v>1340</v>
      </c>
      <c r="B341" s="2">
        <f t="shared" ca="1" si="21"/>
        <v>45690</v>
      </c>
      <c r="C341" t="str" cm="1">
        <f t="array" aca="1" ref="C341" ca="1">INDEX(Products!$A$2:$A$9,RANDBETWEEN(1,8))</f>
        <v>Training Top</v>
      </c>
      <c r="D341" t="str">
        <f ca="1">_xlfn.XLOOKUP(C341,Products!A:A,Products!B:B)</f>
        <v>Training Wear</v>
      </c>
      <c r="E341" t="str" cm="1">
        <f t="array" aca="1" ref="E341" ca="1">INDEX(Regions!$A$2:$A$7,RANDBETWEEN(1,6))</f>
        <v>Belfast</v>
      </c>
      <c r="F341">
        <f t="shared" ca="1" si="22"/>
        <v>1</v>
      </c>
      <c r="G341">
        <f ca="1">VLOOKUP(C341,Products!$A$2:$C$9,3,FALSE)</f>
        <v>55</v>
      </c>
      <c r="H341">
        <f t="shared" ca="1" si="23"/>
        <v>55</v>
      </c>
    </row>
    <row r="342" spans="1:8" x14ac:dyDescent="0.35">
      <c r="A342">
        <f t="shared" si="20"/>
        <v>1341</v>
      </c>
      <c r="B342" s="2">
        <f t="shared" ca="1" si="21"/>
        <v>45297</v>
      </c>
      <c r="C342" t="str" cm="1">
        <f t="array" aca="1" ref="C342" ca="1">INDEX(Products!$A$2:$A$9,RANDBETWEEN(1,8))</f>
        <v>Hat</v>
      </c>
      <c r="D342" t="str">
        <f ca="1">_xlfn.XLOOKUP(C342,Products!A:A,Products!B:B)</f>
        <v>Accessories</v>
      </c>
      <c r="E342" t="str" cm="1">
        <f t="array" aca="1" ref="E342" ca="1">INDEX(Regions!$A$2:$A$7,RANDBETWEEN(1,6))</f>
        <v>Galway</v>
      </c>
      <c r="F342">
        <f t="shared" ca="1" si="22"/>
        <v>4</v>
      </c>
      <c r="G342">
        <f ca="1">VLOOKUP(C342,Products!$A$2:$C$9,3,FALSE)</f>
        <v>25</v>
      </c>
      <c r="H342">
        <f t="shared" ca="1" si="23"/>
        <v>100</v>
      </c>
    </row>
    <row r="343" spans="1:8" x14ac:dyDescent="0.35">
      <c r="A343">
        <f t="shared" si="20"/>
        <v>1342</v>
      </c>
      <c r="B343" s="2">
        <f t="shared" ca="1" si="21"/>
        <v>45464</v>
      </c>
      <c r="C343" t="str" cm="1">
        <f t="array" aca="1" ref="C343" ca="1">INDEX(Products!$A$2:$A$9,RANDBETWEEN(1,8))</f>
        <v>Scarf</v>
      </c>
      <c r="D343" t="str">
        <f ca="1">_xlfn.XLOOKUP(C343,Products!A:A,Products!B:B)</f>
        <v>Accessories</v>
      </c>
      <c r="E343" t="str" cm="1">
        <f t="array" aca="1" ref="E343" ca="1">INDEX(Regions!$A$2:$A$7,RANDBETWEEN(1,6))</f>
        <v>Belfast</v>
      </c>
      <c r="F343">
        <f t="shared" ca="1" si="22"/>
        <v>2</v>
      </c>
      <c r="G343">
        <f ca="1">VLOOKUP(C343,Products!$A$2:$C$9,3,FALSE)</f>
        <v>20</v>
      </c>
      <c r="H343">
        <f t="shared" ca="1" si="23"/>
        <v>40</v>
      </c>
    </row>
    <row r="344" spans="1:8" x14ac:dyDescent="0.35">
      <c r="A344">
        <f t="shared" si="20"/>
        <v>1343</v>
      </c>
      <c r="B344" s="2">
        <f t="shared" ca="1" si="21"/>
        <v>45603</v>
      </c>
      <c r="C344" t="str" cm="1">
        <f t="array" aca="1" ref="C344" ca="1">INDEX(Products!$A$2:$A$9,RANDBETWEEN(1,8))</f>
        <v>Football</v>
      </c>
      <c r="D344" t="str">
        <f ca="1">_xlfn.XLOOKUP(C344,Products!A:A,Products!B:B)</f>
        <v>Equipment</v>
      </c>
      <c r="E344" t="str" cm="1">
        <f t="array" aca="1" ref="E344" ca="1">INDEX(Regions!$A$2:$A$7,RANDBETWEEN(1,6))</f>
        <v>Waterford</v>
      </c>
      <c r="F344">
        <f t="shared" ca="1" si="22"/>
        <v>4</v>
      </c>
      <c r="G344">
        <f ca="1">VLOOKUP(C344,Products!$A$2:$C$9,3,FALSE)</f>
        <v>30</v>
      </c>
      <c r="H344">
        <f t="shared" ca="1" si="23"/>
        <v>120</v>
      </c>
    </row>
    <row r="345" spans="1:8" x14ac:dyDescent="0.35">
      <c r="A345">
        <f t="shared" si="20"/>
        <v>1344</v>
      </c>
      <c r="B345" s="2">
        <f t="shared" ca="1" si="21"/>
        <v>45754</v>
      </c>
      <c r="C345" t="str" cm="1">
        <f t="array" aca="1" ref="C345" ca="1">INDEX(Products!$A$2:$A$9,RANDBETWEEN(1,8))</f>
        <v>Training Top</v>
      </c>
      <c r="D345" t="str">
        <f ca="1">_xlfn.XLOOKUP(C345,Products!A:A,Products!B:B)</f>
        <v>Training Wear</v>
      </c>
      <c r="E345" t="str" cm="1">
        <f t="array" aca="1" ref="E345" ca="1">INDEX(Regions!$A$2:$A$7,RANDBETWEEN(1,6))</f>
        <v>Waterford</v>
      </c>
      <c r="F345">
        <f t="shared" ca="1" si="22"/>
        <v>4</v>
      </c>
      <c r="G345">
        <f ca="1">VLOOKUP(C345,Products!$A$2:$C$9,3,FALSE)</f>
        <v>55</v>
      </c>
      <c r="H345">
        <f t="shared" ca="1" si="23"/>
        <v>220</v>
      </c>
    </row>
    <row r="346" spans="1:8" x14ac:dyDescent="0.35">
      <c r="A346">
        <f t="shared" si="20"/>
        <v>1345</v>
      </c>
      <c r="B346" s="2">
        <f t="shared" ca="1" si="21"/>
        <v>45324</v>
      </c>
      <c r="C346" t="str" cm="1">
        <f t="array" aca="1" ref="C346" ca="1">INDEX(Products!$A$2:$A$9,RANDBETWEEN(1,8))</f>
        <v>Scarf</v>
      </c>
      <c r="D346" t="str">
        <f ca="1">_xlfn.XLOOKUP(C346,Products!A:A,Products!B:B)</f>
        <v>Accessories</v>
      </c>
      <c r="E346" t="str" cm="1">
        <f t="array" aca="1" ref="E346" ca="1">INDEX(Regions!$A$2:$A$7,RANDBETWEEN(1,6))</f>
        <v>Limerick</v>
      </c>
      <c r="F346">
        <f t="shared" ca="1" si="22"/>
        <v>2</v>
      </c>
      <c r="G346">
        <f ca="1">VLOOKUP(C346,Products!$A$2:$C$9,3,FALSE)</f>
        <v>20</v>
      </c>
      <c r="H346">
        <f t="shared" ca="1" si="23"/>
        <v>40</v>
      </c>
    </row>
    <row r="347" spans="1:8" x14ac:dyDescent="0.35">
      <c r="A347">
        <f t="shared" si="20"/>
        <v>1346</v>
      </c>
      <c r="B347" s="2">
        <f t="shared" ca="1" si="21"/>
        <v>45591</v>
      </c>
      <c r="C347" t="str" cm="1">
        <f t="array" aca="1" ref="C347" ca="1">INDEX(Products!$A$2:$A$9,RANDBETWEEN(1,8))</f>
        <v>Hat</v>
      </c>
      <c r="D347" t="str">
        <f ca="1">_xlfn.XLOOKUP(C347,Products!A:A,Products!B:B)</f>
        <v>Accessories</v>
      </c>
      <c r="E347" t="str" cm="1">
        <f t="array" aca="1" ref="E347" ca="1">INDEX(Regions!$A$2:$A$7,RANDBETWEEN(1,6))</f>
        <v>Cork</v>
      </c>
      <c r="F347">
        <f t="shared" ca="1" si="22"/>
        <v>5</v>
      </c>
      <c r="G347">
        <f ca="1">VLOOKUP(C347,Products!$A$2:$C$9,3,FALSE)</f>
        <v>25</v>
      </c>
      <c r="H347">
        <f t="shared" ca="1" si="23"/>
        <v>125</v>
      </c>
    </row>
    <row r="348" spans="1:8" x14ac:dyDescent="0.35">
      <c r="A348">
        <f t="shared" si="20"/>
        <v>1347</v>
      </c>
      <c r="B348" s="2">
        <f t="shared" ca="1" si="21"/>
        <v>45498</v>
      </c>
      <c r="C348" t="str" cm="1">
        <f t="array" aca="1" ref="C348" ca="1">INDEX(Products!$A$2:$A$9,RANDBETWEEN(1,8))</f>
        <v>Football</v>
      </c>
      <c r="D348" t="str">
        <f ca="1">_xlfn.XLOOKUP(C348,Products!A:A,Products!B:B)</f>
        <v>Equipment</v>
      </c>
      <c r="E348" t="str" cm="1">
        <f t="array" aca="1" ref="E348" ca="1">INDEX(Regions!$A$2:$A$7,RANDBETWEEN(1,6))</f>
        <v>Waterford</v>
      </c>
      <c r="F348">
        <f t="shared" ca="1" si="22"/>
        <v>3</v>
      </c>
      <c r="G348">
        <f ca="1">VLOOKUP(C348,Products!$A$2:$C$9,3,FALSE)</f>
        <v>30</v>
      </c>
      <c r="H348">
        <f t="shared" ca="1" si="23"/>
        <v>90</v>
      </c>
    </row>
    <row r="349" spans="1:8" x14ac:dyDescent="0.35">
      <c r="A349">
        <f t="shared" si="20"/>
        <v>1348</v>
      </c>
      <c r="B349" s="2">
        <f t="shared" ca="1" si="21"/>
        <v>45848</v>
      </c>
      <c r="C349" t="str" cm="1">
        <f t="array" aca="1" ref="C349" ca="1">INDEX(Products!$A$2:$A$9,RANDBETWEEN(1,8))</f>
        <v>Hat</v>
      </c>
      <c r="D349" t="str">
        <f ca="1">_xlfn.XLOOKUP(C349,Products!A:A,Products!B:B)</f>
        <v>Accessories</v>
      </c>
      <c r="E349" t="str" cm="1">
        <f t="array" aca="1" ref="E349" ca="1">INDEX(Regions!$A$2:$A$7,RANDBETWEEN(1,6))</f>
        <v>Belfast</v>
      </c>
      <c r="F349">
        <f t="shared" ca="1" si="22"/>
        <v>2</v>
      </c>
      <c r="G349">
        <f ca="1">VLOOKUP(C349,Products!$A$2:$C$9,3,FALSE)</f>
        <v>25</v>
      </c>
      <c r="H349">
        <f t="shared" ca="1" si="23"/>
        <v>50</v>
      </c>
    </row>
    <row r="350" spans="1:8" x14ac:dyDescent="0.35">
      <c r="A350">
        <f t="shared" si="20"/>
        <v>1349</v>
      </c>
      <c r="B350" s="2">
        <f t="shared" ca="1" si="21"/>
        <v>45860</v>
      </c>
      <c r="C350" t="str" cm="1">
        <f t="array" aca="1" ref="C350" ca="1">INDEX(Products!$A$2:$A$9,RANDBETWEEN(1,8))</f>
        <v>Hat</v>
      </c>
      <c r="D350" t="str">
        <f ca="1">_xlfn.XLOOKUP(C350,Products!A:A,Products!B:B)</f>
        <v>Accessories</v>
      </c>
      <c r="E350" t="str" cm="1">
        <f t="array" aca="1" ref="E350" ca="1">INDEX(Regions!$A$2:$A$7,RANDBETWEEN(1,6))</f>
        <v>Cork</v>
      </c>
      <c r="F350">
        <f t="shared" ca="1" si="22"/>
        <v>5</v>
      </c>
      <c r="G350">
        <f ca="1">VLOOKUP(C350,Products!$A$2:$C$9,3,FALSE)</f>
        <v>25</v>
      </c>
      <c r="H350">
        <f t="shared" ca="1" si="23"/>
        <v>125</v>
      </c>
    </row>
    <row r="351" spans="1:8" x14ac:dyDescent="0.35">
      <c r="A351">
        <f t="shared" si="20"/>
        <v>1350</v>
      </c>
      <c r="B351" s="2">
        <f t="shared" ca="1" si="21"/>
        <v>45669</v>
      </c>
      <c r="C351" t="str" cm="1">
        <f t="array" aca="1" ref="C351" ca="1">INDEX(Products!$A$2:$A$9,RANDBETWEEN(1,8))</f>
        <v>Away Jersey</v>
      </c>
      <c r="D351" t="str">
        <f ca="1">_xlfn.XLOOKUP(C351,Products!A:A,Products!B:B)</f>
        <v>Jerseys</v>
      </c>
      <c r="E351" t="str" cm="1">
        <f t="array" aca="1" ref="E351" ca="1">INDEX(Regions!$A$2:$A$7,RANDBETWEEN(1,6))</f>
        <v>Dublin</v>
      </c>
      <c r="F351">
        <f t="shared" ca="1" si="22"/>
        <v>4</v>
      </c>
      <c r="G351">
        <f ca="1">VLOOKUP(C351,Products!$A$2:$C$9,3,FALSE)</f>
        <v>80</v>
      </c>
      <c r="H351">
        <f t="shared" ca="1" si="23"/>
        <v>320</v>
      </c>
    </row>
    <row r="352" spans="1:8" x14ac:dyDescent="0.35">
      <c r="A352">
        <f t="shared" si="20"/>
        <v>1351</v>
      </c>
      <c r="B352" s="2">
        <f t="shared" ca="1" si="21"/>
        <v>45421</v>
      </c>
      <c r="C352" t="str" cm="1">
        <f t="array" aca="1" ref="C352" ca="1">INDEX(Products!$A$2:$A$9,RANDBETWEEN(1,8))</f>
        <v>Third Jersey</v>
      </c>
      <c r="D352" t="str">
        <f ca="1">_xlfn.XLOOKUP(C352,Products!A:A,Products!B:B)</f>
        <v>Jerseys</v>
      </c>
      <c r="E352" t="str" cm="1">
        <f t="array" aca="1" ref="E352" ca="1">INDEX(Regions!$A$2:$A$7,RANDBETWEEN(1,6))</f>
        <v>Waterford</v>
      </c>
      <c r="F352">
        <f t="shared" ca="1" si="22"/>
        <v>1</v>
      </c>
      <c r="G352">
        <f ca="1">VLOOKUP(C352,Products!$A$2:$C$9,3,FALSE)</f>
        <v>85</v>
      </c>
      <c r="H352">
        <f t="shared" ca="1" si="23"/>
        <v>85</v>
      </c>
    </row>
    <row r="353" spans="1:8" x14ac:dyDescent="0.35">
      <c r="A353">
        <f t="shared" si="20"/>
        <v>1352</v>
      </c>
      <c r="B353" s="2">
        <f t="shared" ca="1" si="21"/>
        <v>45510</v>
      </c>
      <c r="C353" t="str" cm="1">
        <f t="array" aca="1" ref="C353" ca="1">INDEX(Products!$A$2:$A$9,RANDBETWEEN(1,8))</f>
        <v>Hat</v>
      </c>
      <c r="D353" t="str">
        <f ca="1">_xlfn.XLOOKUP(C353,Products!A:A,Products!B:B)</f>
        <v>Accessories</v>
      </c>
      <c r="E353" t="str" cm="1">
        <f t="array" aca="1" ref="E353" ca="1">INDEX(Regions!$A$2:$A$7,RANDBETWEEN(1,6))</f>
        <v>Waterford</v>
      </c>
      <c r="F353">
        <f t="shared" ca="1" si="22"/>
        <v>4</v>
      </c>
      <c r="G353">
        <f ca="1">VLOOKUP(C353,Products!$A$2:$C$9,3,FALSE)</f>
        <v>25</v>
      </c>
      <c r="H353">
        <f t="shared" ca="1" si="23"/>
        <v>100</v>
      </c>
    </row>
    <row r="354" spans="1:8" x14ac:dyDescent="0.35">
      <c r="A354">
        <f t="shared" si="20"/>
        <v>1353</v>
      </c>
      <c r="B354" s="2">
        <f t="shared" ca="1" si="21"/>
        <v>45926</v>
      </c>
      <c r="C354" t="str" cm="1">
        <f t="array" aca="1" ref="C354" ca="1">INDEX(Products!$A$2:$A$9,RANDBETWEEN(1,8))</f>
        <v>Hat</v>
      </c>
      <c r="D354" t="str">
        <f ca="1">_xlfn.XLOOKUP(C354,Products!A:A,Products!B:B)</f>
        <v>Accessories</v>
      </c>
      <c r="E354" t="str" cm="1">
        <f t="array" aca="1" ref="E354" ca="1">INDEX(Regions!$A$2:$A$7,RANDBETWEEN(1,6))</f>
        <v>Belfast</v>
      </c>
      <c r="F354">
        <f t="shared" ca="1" si="22"/>
        <v>3</v>
      </c>
      <c r="G354">
        <f ca="1">VLOOKUP(C354,Products!$A$2:$C$9,3,FALSE)</f>
        <v>25</v>
      </c>
      <c r="H354">
        <f t="shared" ca="1" si="23"/>
        <v>75</v>
      </c>
    </row>
    <row r="355" spans="1:8" x14ac:dyDescent="0.35">
      <c r="A355">
        <f t="shared" si="20"/>
        <v>1354</v>
      </c>
      <c r="B355" s="2">
        <f t="shared" ca="1" si="21"/>
        <v>45699</v>
      </c>
      <c r="C355" t="str" cm="1">
        <f t="array" aca="1" ref="C355" ca="1">INDEX(Products!$A$2:$A$9,RANDBETWEEN(1,8))</f>
        <v>Jacket</v>
      </c>
      <c r="D355" t="str">
        <f ca="1">_xlfn.XLOOKUP(C355,Products!A:A,Products!B:B)</f>
        <v>Training Wear</v>
      </c>
      <c r="E355" t="str" cm="1">
        <f t="array" aca="1" ref="E355" ca="1">INDEX(Regions!$A$2:$A$7,RANDBETWEEN(1,6))</f>
        <v>Dublin</v>
      </c>
      <c r="F355">
        <f t="shared" ca="1" si="22"/>
        <v>5</v>
      </c>
      <c r="G355">
        <f ca="1">VLOOKUP(C355,Products!$A$2:$C$9,3,FALSE)</f>
        <v>90</v>
      </c>
      <c r="H355">
        <f t="shared" ca="1" si="23"/>
        <v>450</v>
      </c>
    </row>
    <row r="356" spans="1:8" x14ac:dyDescent="0.35">
      <c r="A356">
        <f t="shared" si="20"/>
        <v>1355</v>
      </c>
      <c r="B356" s="2">
        <f t="shared" ca="1" si="21"/>
        <v>46001</v>
      </c>
      <c r="C356" t="str" cm="1">
        <f t="array" aca="1" ref="C356" ca="1">INDEX(Products!$A$2:$A$9,RANDBETWEEN(1,8))</f>
        <v>Football</v>
      </c>
      <c r="D356" t="str">
        <f ca="1">_xlfn.XLOOKUP(C356,Products!A:A,Products!B:B)</f>
        <v>Equipment</v>
      </c>
      <c r="E356" t="str" cm="1">
        <f t="array" aca="1" ref="E356" ca="1">INDEX(Regions!$A$2:$A$7,RANDBETWEEN(1,6))</f>
        <v>Belfast</v>
      </c>
      <c r="F356">
        <f t="shared" ca="1" si="22"/>
        <v>1</v>
      </c>
      <c r="G356">
        <f ca="1">VLOOKUP(C356,Products!$A$2:$C$9,3,FALSE)</f>
        <v>30</v>
      </c>
      <c r="H356">
        <f t="shared" ca="1" si="23"/>
        <v>30</v>
      </c>
    </row>
    <row r="357" spans="1:8" x14ac:dyDescent="0.35">
      <c r="A357">
        <f t="shared" si="20"/>
        <v>1356</v>
      </c>
      <c r="B357" s="2">
        <f t="shared" ca="1" si="21"/>
        <v>45527</v>
      </c>
      <c r="C357" t="str" cm="1">
        <f t="array" aca="1" ref="C357" ca="1">INDEX(Products!$A$2:$A$9,RANDBETWEEN(1,8))</f>
        <v>Football</v>
      </c>
      <c r="D357" t="str">
        <f ca="1">_xlfn.XLOOKUP(C357,Products!A:A,Products!B:B)</f>
        <v>Equipment</v>
      </c>
      <c r="E357" t="str" cm="1">
        <f t="array" aca="1" ref="E357" ca="1">INDEX(Regions!$A$2:$A$7,RANDBETWEEN(1,6))</f>
        <v>Galway</v>
      </c>
      <c r="F357">
        <f t="shared" ca="1" si="22"/>
        <v>1</v>
      </c>
      <c r="G357">
        <f ca="1">VLOOKUP(C357,Products!$A$2:$C$9,3,FALSE)</f>
        <v>30</v>
      </c>
      <c r="H357">
        <f t="shared" ca="1" si="23"/>
        <v>30</v>
      </c>
    </row>
    <row r="358" spans="1:8" x14ac:dyDescent="0.35">
      <c r="A358">
        <f t="shared" si="20"/>
        <v>1357</v>
      </c>
      <c r="B358" s="2">
        <f t="shared" ca="1" si="21"/>
        <v>45775</v>
      </c>
      <c r="C358" t="str" cm="1">
        <f t="array" aca="1" ref="C358" ca="1">INDEX(Products!$A$2:$A$9,RANDBETWEEN(1,8))</f>
        <v>Home Jersey</v>
      </c>
      <c r="D358" t="str">
        <f ca="1">_xlfn.XLOOKUP(C358,Products!A:A,Products!B:B)</f>
        <v>Jerseys</v>
      </c>
      <c r="E358" t="str" cm="1">
        <f t="array" aca="1" ref="E358" ca="1">INDEX(Regions!$A$2:$A$7,RANDBETWEEN(1,6))</f>
        <v>Waterford</v>
      </c>
      <c r="F358">
        <f t="shared" ca="1" si="22"/>
        <v>3</v>
      </c>
      <c r="G358">
        <f ca="1">VLOOKUP(C358,Products!$A$2:$C$9,3,FALSE)</f>
        <v>80</v>
      </c>
      <c r="H358">
        <f t="shared" ca="1" si="23"/>
        <v>240</v>
      </c>
    </row>
    <row r="359" spans="1:8" x14ac:dyDescent="0.35">
      <c r="A359">
        <f t="shared" si="20"/>
        <v>1358</v>
      </c>
      <c r="B359" s="2">
        <f t="shared" ca="1" si="21"/>
        <v>45506</v>
      </c>
      <c r="C359" t="str" cm="1">
        <f t="array" aca="1" ref="C359" ca="1">INDEX(Products!$A$2:$A$9,RANDBETWEEN(1,8))</f>
        <v>Scarf</v>
      </c>
      <c r="D359" t="str">
        <f ca="1">_xlfn.XLOOKUP(C359,Products!A:A,Products!B:B)</f>
        <v>Accessories</v>
      </c>
      <c r="E359" t="str" cm="1">
        <f t="array" aca="1" ref="E359" ca="1">INDEX(Regions!$A$2:$A$7,RANDBETWEEN(1,6))</f>
        <v>Galway</v>
      </c>
      <c r="F359">
        <f t="shared" ca="1" si="22"/>
        <v>1</v>
      </c>
      <c r="G359">
        <f ca="1">VLOOKUP(C359,Products!$A$2:$C$9,3,FALSE)</f>
        <v>20</v>
      </c>
      <c r="H359">
        <f t="shared" ca="1" si="23"/>
        <v>20</v>
      </c>
    </row>
    <row r="360" spans="1:8" x14ac:dyDescent="0.35">
      <c r="A360">
        <f t="shared" si="20"/>
        <v>1359</v>
      </c>
      <c r="B360" s="2">
        <f t="shared" ca="1" si="21"/>
        <v>45955</v>
      </c>
      <c r="C360" t="str" cm="1">
        <f t="array" aca="1" ref="C360" ca="1">INDEX(Products!$A$2:$A$9,RANDBETWEEN(1,8))</f>
        <v>Third Jersey</v>
      </c>
      <c r="D360" t="str">
        <f ca="1">_xlfn.XLOOKUP(C360,Products!A:A,Products!B:B)</f>
        <v>Jerseys</v>
      </c>
      <c r="E360" t="str" cm="1">
        <f t="array" aca="1" ref="E360" ca="1">INDEX(Regions!$A$2:$A$7,RANDBETWEEN(1,6))</f>
        <v>Waterford</v>
      </c>
      <c r="F360">
        <f t="shared" ca="1" si="22"/>
        <v>1</v>
      </c>
      <c r="G360">
        <f ca="1">VLOOKUP(C360,Products!$A$2:$C$9,3,FALSE)</f>
        <v>85</v>
      </c>
      <c r="H360">
        <f t="shared" ca="1" si="23"/>
        <v>85</v>
      </c>
    </row>
    <row r="361" spans="1:8" x14ac:dyDescent="0.35">
      <c r="A361">
        <f t="shared" si="20"/>
        <v>1360</v>
      </c>
      <c r="B361" s="2">
        <f t="shared" ca="1" si="21"/>
        <v>45970</v>
      </c>
      <c r="C361" t="str" cm="1">
        <f t="array" aca="1" ref="C361" ca="1">INDEX(Products!$A$2:$A$9,RANDBETWEEN(1,8))</f>
        <v>Home Jersey</v>
      </c>
      <c r="D361" t="str">
        <f ca="1">_xlfn.XLOOKUP(C361,Products!A:A,Products!B:B)</f>
        <v>Jerseys</v>
      </c>
      <c r="E361" t="str" cm="1">
        <f t="array" aca="1" ref="E361" ca="1">INDEX(Regions!$A$2:$A$7,RANDBETWEEN(1,6))</f>
        <v>Limerick</v>
      </c>
      <c r="F361">
        <f t="shared" ca="1" si="22"/>
        <v>3</v>
      </c>
      <c r="G361">
        <f ca="1">VLOOKUP(C361,Products!$A$2:$C$9,3,FALSE)</f>
        <v>80</v>
      </c>
      <c r="H361">
        <f t="shared" ca="1" si="23"/>
        <v>240</v>
      </c>
    </row>
    <row r="362" spans="1:8" x14ac:dyDescent="0.35">
      <c r="A362">
        <f t="shared" si="20"/>
        <v>1361</v>
      </c>
      <c r="B362" s="2">
        <f t="shared" ca="1" si="21"/>
        <v>45734</v>
      </c>
      <c r="C362" t="str" cm="1">
        <f t="array" aca="1" ref="C362" ca="1">INDEX(Products!$A$2:$A$9,RANDBETWEEN(1,8))</f>
        <v>Jacket</v>
      </c>
      <c r="D362" t="str">
        <f ca="1">_xlfn.XLOOKUP(C362,Products!A:A,Products!B:B)</f>
        <v>Training Wear</v>
      </c>
      <c r="E362" t="str" cm="1">
        <f t="array" aca="1" ref="E362" ca="1">INDEX(Regions!$A$2:$A$7,RANDBETWEEN(1,6))</f>
        <v>Limerick</v>
      </c>
      <c r="F362">
        <f t="shared" ca="1" si="22"/>
        <v>1</v>
      </c>
      <c r="G362">
        <f ca="1">VLOOKUP(C362,Products!$A$2:$C$9,3,FALSE)</f>
        <v>90</v>
      </c>
      <c r="H362">
        <f t="shared" ca="1" si="23"/>
        <v>90</v>
      </c>
    </row>
    <row r="363" spans="1:8" x14ac:dyDescent="0.35">
      <c r="A363">
        <f t="shared" si="20"/>
        <v>1362</v>
      </c>
      <c r="B363" s="2">
        <f t="shared" ca="1" si="21"/>
        <v>45797</v>
      </c>
      <c r="C363" t="str" cm="1">
        <f t="array" aca="1" ref="C363" ca="1">INDEX(Products!$A$2:$A$9,RANDBETWEEN(1,8))</f>
        <v>Away Jersey</v>
      </c>
      <c r="D363" t="str">
        <f ca="1">_xlfn.XLOOKUP(C363,Products!A:A,Products!B:B)</f>
        <v>Jerseys</v>
      </c>
      <c r="E363" t="str" cm="1">
        <f t="array" aca="1" ref="E363" ca="1">INDEX(Regions!$A$2:$A$7,RANDBETWEEN(1,6))</f>
        <v>Waterford</v>
      </c>
      <c r="F363">
        <f t="shared" ca="1" si="22"/>
        <v>2</v>
      </c>
      <c r="G363">
        <f ca="1">VLOOKUP(C363,Products!$A$2:$C$9,3,FALSE)</f>
        <v>80</v>
      </c>
      <c r="H363">
        <f t="shared" ca="1" si="23"/>
        <v>160</v>
      </c>
    </row>
    <row r="364" spans="1:8" x14ac:dyDescent="0.35">
      <c r="A364">
        <f t="shared" si="20"/>
        <v>1363</v>
      </c>
      <c r="B364" s="2">
        <f t="shared" ca="1" si="21"/>
        <v>45647</v>
      </c>
      <c r="C364" t="str" cm="1">
        <f t="array" aca="1" ref="C364" ca="1">INDEX(Products!$A$2:$A$9,RANDBETWEEN(1,8))</f>
        <v>Away Jersey</v>
      </c>
      <c r="D364" t="str">
        <f ca="1">_xlfn.XLOOKUP(C364,Products!A:A,Products!B:B)</f>
        <v>Jerseys</v>
      </c>
      <c r="E364" t="str" cm="1">
        <f t="array" aca="1" ref="E364" ca="1">INDEX(Regions!$A$2:$A$7,RANDBETWEEN(1,6))</f>
        <v>Waterford</v>
      </c>
      <c r="F364">
        <f t="shared" ca="1" si="22"/>
        <v>5</v>
      </c>
      <c r="G364">
        <f ca="1">VLOOKUP(C364,Products!$A$2:$C$9,3,FALSE)</f>
        <v>80</v>
      </c>
      <c r="H364">
        <f t="shared" ca="1" si="23"/>
        <v>400</v>
      </c>
    </row>
    <row r="365" spans="1:8" x14ac:dyDescent="0.35">
      <c r="A365">
        <f t="shared" si="20"/>
        <v>1364</v>
      </c>
      <c r="B365" s="2">
        <f t="shared" ca="1" si="21"/>
        <v>45795</v>
      </c>
      <c r="C365" t="str" cm="1">
        <f t="array" aca="1" ref="C365" ca="1">INDEX(Products!$A$2:$A$9,RANDBETWEEN(1,8))</f>
        <v>Third Jersey</v>
      </c>
      <c r="D365" t="str">
        <f ca="1">_xlfn.XLOOKUP(C365,Products!A:A,Products!B:B)</f>
        <v>Jerseys</v>
      </c>
      <c r="E365" t="str" cm="1">
        <f t="array" aca="1" ref="E365" ca="1">INDEX(Regions!$A$2:$A$7,RANDBETWEEN(1,6))</f>
        <v>Galway</v>
      </c>
      <c r="F365">
        <f t="shared" ca="1" si="22"/>
        <v>5</v>
      </c>
      <c r="G365">
        <f ca="1">VLOOKUP(C365,Products!$A$2:$C$9,3,FALSE)</f>
        <v>85</v>
      </c>
      <c r="H365">
        <f t="shared" ca="1" si="23"/>
        <v>425</v>
      </c>
    </row>
    <row r="366" spans="1:8" x14ac:dyDescent="0.35">
      <c r="A366">
        <f t="shared" si="20"/>
        <v>1365</v>
      </c>
      <c r="B366" s="2">
        <f t="shared" ca="1" si="21"/>
        <v>45931</v>
      </c>
      <c r="C366" t="str" cm="1">
        <f t="array" aca="1" ref="C366" ca="1">INDEX(Products!$A$2:$A$9,RANDBETWEEN(1,8))</f>
        <v>Hat</v>
      </c>
      <c r="D366" t="str">
        <f ca="1">_xlfn.XLOOKUP(C366,Products!A:A,Products!B:B)</f>
        <v>Accessories</v>
      </c>
      <c r="E366" t="str" cm="1">
        <f t="array" aca="1" ref="E366" ca="1">INDEX(Regions!$A$2:$A$7,RANDBETWEEN(1,6))</f>
        <v>Galway</v>
      </c>
      <c r="F366">
        <f t="shared" ca="1" si="22"/>
        <v>3</v>
      </c>
      <c r="G366">
        <f ca="1">VLOOKUP(C366,Products!$A$2:$C$9,3,FALSE)</f>
        <v>25</v>
      </c>
      <c r="H366">
        <f t="shared" ca="1" si="23"/>
        <v>75</v>
      </c>
    </row>
    <row r="367" spans="1:8" x14ac:dyDescent="0.35">
      <c r="A367">
        <f t="shared" si="20"/>
        <v>1366</v>
      </c>
      <c r="B367" s="2">
        <f t="shared" ca="1" si="21"/>
        <v>45606</v>
      </c>
      <c r="C367" t="str" cm="1">
        <f t="array" aca="1" ref="C367" ca="1">INDEX(Products!$A$2:$A$9,RANDBETWEEN(1,8))</f>
        <v>Third Jersey</v>
      </c>
      <c r="D367" t="str">
        <f ca="1">_xlfn.XLOOKUP(C367,Products!A:A,Products!B:B)</f>
        <v>Jerseys</v>
      </c>
      <c r="E367" t="str" cm="1">
        <f t="array" aca="1" ref="E367" ca="1">INDEX(Regions!$A$2:$A$7,RANDBETWEEN(1,6))</f>
        <v>Dublin</v>
      </c>
      <c r="F367">
        <f t="shared" ca="1" si="22"/>
        <v>5</v>
      </c>
      <c r="G367">
        <f ca="1">VLOOKUP(C367,Products!$A$2:$C$9,3,FALSE)</f>
        <v>85</v>
      </c>
      <c r="H367">
        <f t="shared" ca="1" si="23"/>
        <v>425</v>
      </c>
    </row>
    <row r="368" spans="1:8" x14ac:dyDescent="0.35">
      <c r="A368">
        <f t="shared" si="20"/>
        <v>1367</v>
      </c>
      <c r="B368" s="2">
        <f t="shared" ca="1" si="21"/>
        <v>45988</v>
      </c>
      <c r="C368" t="str" cm="1">
        <f t="array" aca="1" ref="C368" ca="1">INDEX(Products!$A$2:$A$9,RANDBETWEEN(1,8))</f>
        <v>Home Jersey</v>
      </c>
      <c r="D368" t="str">
        <f ca="1">_xlfn.XLOOKUP(C368,Products!A:A,Products!B:B)</f>
        <v>Jerseys</v>
      </c>
      <c r="E368" t="str" cm="1">
        <f t="array" aca="1" ref="E368" ca="1">INDEX(Regions!$A$2:$A$7,RANDBETWEEN(1,6))</f>
        <v>Cork</v>
      </c>
      <c r="F368">
        <f t="shared" ca="1" si="22"/>
        <v>2</v>
      </c>
      <c r="G368">
        <f ca="1">VLOOKUP(C368,Products!$A$2:$C$9,3,FALSE)</f>
        <v>80</v>
      </c>
      <c r="H368">
        <f t="shared" ca="1" si="23"/>
        <v>160</v>
      </c>
    </row>
    <row r="369" spans="1:8" x14ac:dyDescent="0.35">
      <c r="A369">
        <f t="shared" si="20"/>
        <v>1368</v>
      </c>
      <c r="B369" s="2">
        <f t="shared" ca="1" si="21"/>
        <v>45997</v>
      </c>
      <c r="C369" t="str" cm="1">
        <f t="array" aca="1" ref="C369" ca="1">INDEX(Products!$A$2:$A$9,RANDBETWEEN(1,8))</f>
        <v>Football</v>
      </c>
      <c r="D369" t="str">
        <f ca="1">_xlfn.XLOOKUP(C369,Products!A:A,Products!B:B)</f>
        <v>Equipment</v>
      </c>
      <c r="E369" t="str" cm="1">
        <f t="array" aca="1" ref="E369" ca="1">INDEX(Regions!$A$2:$A$7,RANDBETWEEN(1,6))</f>
        <v>Cork</v>
      </c>
      <c r="F369">
        <f t="shared" ca="1" si="22"/>
        <v>3</v>
      </c>
      <c r="G369">
        <f ca="1">VLOOKUP(C369,Products!$A$2:$C$9,3,FALSE)</f>
        <v>30</v>
      </c>
      <c r="H369">
        <f t="shared" ca="1" si="23"/>
        <v>90</v>
      </c>
    </row>
    <row r="370" spans="1:8" x14ac:dyDescent="0.35">
      <c r="A370">
        <f t="shared" si="20"/>
        <v>1369</v>
      </c>
      <c r="B370" s="2">
        <f t="shared" ca="1" si="21"/>
        <v>45485</v>
      </c>
      <c r="C370" t="str" cm="1">
        <f t="array" aca="1" ref="C370" ca="1">INDEX(Products!$A$2:$A$9,RANDBETWEEN(1,8))</f>
        <v>Hat</v>
      </c>
      <c r="D370" t="str">
        <f ca="1">_xlfn.XLOOKUP(C370,Products!A:A,Products!B:B)</f>
        <v>Accessories</v>
      </c>
      <c r="E370" t="str" cm="1">
        <f t="array" aca="1" ref="E370" ca="1">INDEX(Regions!$A$2:$A$7,RANDBETWEEN(1,6))</f>
        <v>Belfast</v>
      </c>
      <c r="F370">
        <f t="shared" ca="1" si="22"/>
        <v>3</v>
      </c>
      <c r="G370">
        <f ca="1">VLOOKUP(C370,Products!$A$2:$C$9,3,FALSE)</f>
        <v>25</v>
      </c>
      <c r="H370">
        <f t="shared" ca="1" si="23"/>
        <v>75</v>
      </c>
    </row>
    <row r="371" spans="1:8" x14ac:dyDescent="0.35">
      <c r="A371">
        <f t="shared" si="20"/>
        <v>1370</v>
      </c>
      <c r="B371" s="2">
        <f t="shared" ca="1" si="21"/>
        <v>45633</v>
      </c>
      <c r="C371" t="str" cm="1">
        <f t="array" aca="1" ref="C371" ca="1">INDEX(Products!$A$2:$A$9,RANDBETWEEN(1,8))</f>
        <v>Jacket</v>
      </c>
      <c r="D371" t="str">
        <f ca="1">_xlfn.XLOOKUP(C371,Products!A:A,Products!B:B)</f>
        <v>Training Wear</v>
      </c>
      <c r="E371" t="str" cm="1">
        <f t="array" aca="1" ref="E371" ca="1">INDEX(Regions!$A$2:$A$7,RANDBETWEEN(1,6))</f>
        <v>Waterford</v>
      </c>
      <c r="F371">
        <f t="shared" ca="1" si="22"/>
        <v>1</v>
      </c>
      <c r="G371">
        <f ca="1">VLOOKUP(C371,Products!$A$2:$C$9,3,FALSE)</f>
        <v>90</v>
      </c>
      <c r="H371">
        <f t="shared" ca="1" si="23"/>
        <v>90</v>
      </c>
    </row>
    <row r="372" spans="1:8" x14ac:dyDescent="0.35">
      <c r="A372">
        <f t="shared" si="20"/>
        <v>1371</v>
      </c>
      <c r="B372" s="2">
        <f t="shared" ca="1" si="21"/>
        <v>45396</v>
      </c>
      <c r="C372" t="str" cm="1">
        <f t="array" aca="1" ref="C372" ca="1">INDEX(Products!$A$2:$A$9,RANDBETWEEN(1,8))</f>
        <v>Jacket</v>
      </c>
      <c r="D372" t="str">
        <f ca="1">_xlfn.XLOOKUP(C372,Products!A:A,Products!B:B)</f>
        <v>Training Wear</v>
      </c>
      <c r="E372" t="str" cm="1">
        <f t="array" aca="1" ref="E372" ca="1">INDEX(Regions!$A$2:$A$7,RANDBETWEEN(1,6))</f>
        <v>Waterford</v>
      </c>
      <c r="F372">
        <f t="shared" ca="1" si="22"/>
        <v>4</v>
      </c>
      <c r="G372">
        <f ca="1">VLOOKUP(C372,Products!$A$2:$C$9,3,FALSE)</f>
        <v>90</v>
      </c>
      <c r="H372">
        <f t="shared" ca="1" si="23"/>
        <v>360</v>
      </c>
    </row>
    <row r="373" spans="1:8" x14ac:dyDescent="0.35">
      <c r="A373">
        <f t="shared" si="20"/>
        <v>1372</v>
      </c>
      <c r="B373" s="2">
        <f t="shared" ca="1" si="21"/>
        <v>45910</v>
      </c>
      <c r="C373" t="str" cm="1">
        <f t="array" aca="1" ref="C373" ca="1">INDEX(Products!$A$2:$A$9,RANDBETWEEN(1,8))</f>
        <v>Scarf</v>
      </c>
      <c r="D373" t="str">
        <f ca="1">_xlfn.XLOOKUP(C373,Products!A:A,Products!B:B)</f>
        <v>Accessories</v>
      </c>
      <c r="E373" t="str" cm="1">
        <f t="array" aca="1" ref="E373" ca="1">INDEX(Regions!$A$2:$A$7,RANDBETWEEN(1,6))</f>
        <v>Limerick</v>
      </c>
      <c r="F373">
        <f t="shared" ca="1" si="22"/>
        <v>4</v>
      </c>
      <c r="G373">
        <f ca="1">VLOOKUP(C373,Products!$A$2:$C$9,3,FALSE)</f>
        <v>20</v>
      </c>
      <c r="H373">
        <f t="shared" ca="1" si="23"/>
        <v>80</v>
      </c>
    </row>
    <row r="374" spans="1:8" x14ac:dyDescent="0.35">
      <c r="A374">
        <f t="shared" si="20"/>
        <v>1373</v>
      </c>
      <c r="B374" s="2">
        <f t="shared" ca="1" si="21"/>
        <v>45934</v>
      </c>
      <c r="C374" t="str" cm="1">
        <f t="array" aca="1" ref="C374" ca="1">INDEX(Products!$A$2:$A$9,RANDBETWEEN(1,8))</f>
        <v>Away Jersey</v>
      </c>
      <c r="D374" t="str">
        <f ca="1">_xlfn.XLOOKUP(C374,Products!A:A,Products!B:B)</f>
        <v>Jerseys</v>
      </c>
      <c r="E374" t="str" cm="1">
        <f t="array" aca="1" ref="E374" ca="1">INDEX(Regions!$A$2:$A$7,RANDBETWEEN(1,6))</f>
        <v>Cork</v>
      </c>
      <c r="F374">
        <f t="shared" ca="1" si="22"/>
        <v>2</v>
      </c>
      <c r="G374">
        <f ca="1">VLOOKUP(C374,Products!$A$2:$C$9,3,FALSE)</f>
        <v>80</v>
      </c>
      <c r="H374">
        <f t="shared" ca="1" si="23"/>
        <v>160</v>
      </c>
    </row>
    <row r="375" spans="1:8" x14ac:dyDescent="0.35">
      <c r="A375">
        <f t="shared" si="20"/>
        <v>1374</v>
      </c>
      <c r="B375" s="2">
        <f t="shared" ca="1" si="21"/>
        <v>45296</v>
      </c>
      <c r="C375" t="str" cm="1">
        <f t="array" aca="1" ref="C375" ca="1">INDEX(Products!$A$2:$A$9,RANDBETWEEN(1,8))</f>
        <v>Home Jersey</v>
      </c>
      <c r="D375" t="str">
        <f ca="1">_xlfn.XLOOKUP(C375,Products!A:A,Products!B:B)</f>
        <v>Jerseys</v>
      </c>
      <c r="E375" t="str" cm="1">
        <f t="array" aca="1" ref="E375" ca="1">INDEX(Regions!$A$2:$A$7,RANDBETWEEN(1,6))</f>
        <v>Belfast</v>
      </c>
      <c r="F375">
        <f t="shared" ca="1" si="22"/>
        <v>3</v>
      </c>
      <c r="G375">
        <f ca="1">VLOOKUP(C375,Products!$A$2:$C$9,3,FALSE)</f>
        <v>80</v>
      </c>
      <c r="H375">
        <f t="shared" ca="1" si="23"/>
        <v>240</v>
      </c>
    </row>
    <row r="376" spans="1:8" x14ac:dyDescent="0.35">
      <c r="A376">
        <f t="shared" si="20"/>
        <v>1375</v>
      </c>
      <c r="B376" s="2">
        <f t="shared" ca="1" si="21"/>
        <v>45925</v>
      </c>
      <c r="C376" t="str" cm="1">
        <f t="array" aca="1" ref="C376" ca="1">INDEX(Products!$A$2:$A$9,RANDBETWEEN(1,8))</f>
        <v>Training Top</v>
      </c>
      <c r="D376" t="str">
        <f ca="1">_xlfn.XLOOKUP(C376,Products!A:A,Products!B:B)</f>
        <v>Training Wear</v>
      </c>
      <c r="E376" t="str" cm="1">
        <f t="array" aca="1" ref="E376" ca="1">INDEX(Regions!$A$2:$A$7,RANDBETWEEN(1,6))</f>
        <v>Waterford</v>
      </c>
      <c r="F376">
        <f t="shared" ca="1" si="22"/>
        <v>1</v>
      </c>
      <c r="G376">
        <f ca="1">VLOOKUP(C376,Products!$A$2:$C$9,3,FALSE)</f>
        <v>55</v>
      </c>
      <c r="H376">
        <f t="shared" ca="1" si="23"/>
        <v>55</v>
      </c>
    </row>
    <row r="377" spans="1:8" x14ac:dyDescent="0.35">
      <c r="A377">
        <f t="shared" si="20"/>
        <v>1376</v>
      </c>
      <c r="B377" s="2">
        <f t="shared" ca="1" si="21"/>
        <v>45832</v>
      </c>
      <c r="C377" t="str" cm="1">
        <f t="array" aca="1" ref="C377" ca="1">INDEX(Products!$A$2:$A$9,RANDBETWEEN(1,8))</f>
        <v>Hat</v>
      </c>
      <c r="D377" t="str">
        <f ca="1">_xlfn.XLOOKUP(C377,Products!A:A,Products!B:B)</f>
        <v>Accessories</v>
      </c>
      <c r="E377" t="str" cm="1">
        <f t="array" aca="1" ref="E377" ca="1">INDEX(Regions!$A$2:$A$7,RANDBETWEEN(1,6))</f>
        <v>Waterford</v>
      </c>
      <c r="F377">
        <f t="shared" ca="1" si="22"/>
        <v>4</v>
      </c>
      <c r="G377">
        <f ca="1">VLOOKUP(C377,Products!$A$2:$C$9,3,FALSE)</f>
        <v>25</v>
      </c>
      <c r="H377">
        <f t="shared" ca="1" si="23"/>
        <v>100</v>
      </c>
    </row>
    <row r="378" spans="1:8" x14ac:dyDescent="0.35">
      <c r="A378">
        <f t="shared" si="20"/>
        <v>1377</v>
      </c>
      <c r="B378" s="2">
        <f t="shared" ca="1" si="21"/>
        <v>45511</v>
      </c>
      <c r="C378" t="str" cm="1">
        <f t="array" aca="1" ref="C378" ca="1">INDEX(Products!$A$2:$A$9,RANDBETWEEN(1,8))</f>
        <v>Jacket</v>
      </c>
      <c r="D378" t="str">
        <f ca="1">_xlfn.XLOOKUP(C378,Products!A:A,Products!B:B)</f>
        <v>Training Wear</v>
      </c>
      <c r="E378" t="str" cm="1">
        <f t="array" aca="1" ref="E378" ca="1">INDEX(Regions!$A$2:$A$7,RANDBETWEEN(1,6))</f>
        <v>Cork</v>
      </c>
      <c r="F378">
        <f t="shared" ca="1" si="22"/>
        <v>3</v>
      </c>
      <c r="G378">
        <f ca="1">VLOOKUP(C378,Products!$A$2:$C$9,3,FALSE)</f>
        <v>90</v>
      </c>
      <c r="H378">
        <f t="shared" ca="1" si="23"/>
        <v>270</v>
      </c>
    </row>
    <row r="379" spans="1:8" x14ac:dyDescent="0.35">
      <c r="A379">
        <f t="shared" si="20"/>
        <v>1378</v>
      </c>
      <c r="B379" s="2">
        <f t="shared" ca="1" si="21"/>
        <v>45843</v>
      </c>
      <c r="C379" t="str" cm="1">
        <f t="array" aca="1" ref="C379" ca="1">INDEX(Products!$A$2:$A$9,RANDBETWEEN(1,8))</f>
        <v>Football</v>
      </c>
      <c r="D379" t="str">
        <f ca="1">_xlfn.XLOOKUP(C379,Products!A:A,Products!B:B)</f>
        <v>Equipment</v>
      </c>
      <c r="E379" t="str" cm="1">
        <f t="array" aca="1" ref="E379" ca="1">INDEX(Regions!$A$2:$A$7,RANDBETWEEN(1,6))</f>
        <v>Belfast</v>
      </c>
      <c r="F379">
        <f t="shared" ca="1" si="22"/>
        <v>2</v>
      </c>
      <c r="G379">
        <f ca="1">VLOOKUP(C379,Products!$A$2:$C$9,3,FALSE)</f>
        <v>30</v>
      </c>
      <c r="H379">
        <f t="shared" ca="1" si="23"/>
        <v>60</v>
      </c>
    </row>
    <row r="380" spans="1:8" x14ac:dyDescent="0.35">
      <c r="A380">
        <f t="shared" si="20"/>
        <v>1379</v>
      </c>
      <c r="B380" s="2">
        <f t="shared" ca="1" si="21"/>
        <v>46021</v>
      </c>
      <c r="C380" t="str" cm="1">
        <f t="array" aca="1" ref="C380" ca="1">INDEX(Products!$A$2:$A$9,RANDBETWEEN(1,8))</f>
        <v>Hat</v>
      </c>
      <c r="D380" t="str">
        <f ca="1">_xlfn.XLOOKUP(C380,Products!A:A,Products!B:B)</f>
        <v>Accessories</v>
      </c>
      <c r="E380" t="str" cm="1">
        <f t="array" aca="1" ref="E380" ca="1">INDEX(Regions!$A$2:$A$7,RANDBETWEEN(1,6))</f>
        <v>Belfast</v>
      </c>
      <c r="F380">
        <f t="shared" ca="1" si="22"/>
        <v>3</v>
      </c>
      <c r="G380">
        <f ca="1">VLOOKUP(C380,Products!$A$2:$C$9,3,FALSE)</f>
        <v>25</v>
      </c>
      <c r="H380">
        <f t="shared" ca="1" si="23"/>
        <v>75</v>
      </c>
    </row>
    <row r="381" spans="1:8" x14ac:dyDescent="0.35">
      <c r="A381">
        <f t="shared" si="20"/>
        <v>1380</v>
      </c>
      <c r="B381" s="2">
        <f t="shared" ca="1" si="21"/>
        <v>45677</v>
      </c>
      <c r="C381" t="str" cm="1">
        <f t="array" aca="1" ref="C381" ca="1">INDEX(Products!$A$2:$A$9,RANDBETWEEN(1,8))</f>
        <v>Home Jersey</v>
      </c>
      <c r="D381" t="str">
        <f ca="1">_xlfn.XLOOKUP(C381,Products!A:A,Products!B:B)</f>
        <v>Jerseys</v>
      </c>
      <c r="E381" t="str" cm="1">
        <f t="array" aca="1" ref="E381" ca="1">INDEX(Regions!$A$2:$A$7,RANDBETWEEN(1,6))</f>
        <v>Cork</v>
      </c>
      <c r="F381">
        <f t="shared" ca="1" si="22"/>
        <v>4</v>
      </c>
      <c r="G381">
        <f ca="1">VLOOKUP(C381,Products!$A$2:$C$9,3,FALSE)</f>
        <v>80</v>
      </c>
      <c r="H381">
        <f t="shared" ca="1" si="23"/>
        <v>320</v>
      </c>
    </row>
    <row r="382" spans="1:8" x14ac:dyDescent="0.35">
      <c r="A382">
        <f t="shared" si="20"/>
        <v>1381</v>
      </c>
      <c r="B382" s="2">
        <f t="shared" ca="1" si="21"/>
        <v>45344</v>
      </c>
      <c r="C382" t="str" cm="1">
        <f t="array" aca="1" ref="C382" ca="1">INDEX(Products!$A$2:$A$9,RANDBETWEEN(1,8))</f>
        <v>Scarf</v>
      </c>
      <c r="D382" t="str">
        <f ca="1">_xlfn.XLOOKUP(C382,Products!A:A,Products!B:B)</f>
        <v>Accessories</v>
      </c>
      <c r="E382" t="str" cm="1">
        <f t="array" aca="1" ref="E382" ca="1">INDEX(Regions!$A$2:$A$7,RANDBETWEEN(1,6))</f>
        <v>Dublin</v>
      </c>
      <c r="F382">
        <f t="shared" ca="1" si="22"/>
        <v>1</v>
      </c>
      <c r="G382">
        <f ca="1">VLOOKUP(C382,Products!$A$2:$C$9,3,FALSE)</f>
        <v>20</v>
      </c>
      <c r="H382">
        <f t="shared" ca="1" si="23"/>
        <v>20</v>
      </c>
    </row>
    <row r="383" spans="1:8" x14ac:dyDescent="0.35">
      <c r="A383">
        <f t="shared" si="20"/>
        <v>1382</v>
      </c>
      <c r="B383" s="2">
        <f t="shared" ca="1" si="21"/>
        <v>45550</v>
      </c>
      <c r="C383" t="str" cm="1">
        <f t="array" aca="1" ref="C383" ca="1">INDEX(Products!$A$2:$A$9,RANDBETWEEN(1,8))</f>
        <v>Away Jersey</v>
      </c>
      <c r="D383" t="str">
        <f ca="1">_xlfn.XLOOKUP(C383,Products!A:A,Products!B:B)</f>
        <v>Jerseys</v>
      </c>
      <c r="E383" t="str" cm="1">
        <f t="array" aca="1" ref="E383" ca="1">INDEX(Regions!$A$2:$A$7,RANDBETWEEN(1,6))</f>
        <v>Galway</v>
      </c>
      <c r="F383">
        <f t="shared" ca="1" si="22"/>
        <v>1</v>
      </c>
      <c r="G383">
        <f ca="1">VLOOKUP(C383,Products!$A$2:$C$9,3,FALSE)</f>
        <v>80</v>
      </c>
      <c r="H383">
        <f t="shared" ca="1" si="23"/>
        <v>80</v>
      </c>
    </row>
    <row r="384" spans="1:8" x14ac:dyDescent="0.35">
      <c r="A384">
        <f t="shared" si="20"/>
        <v>1383</v>
      </c>
      <c r="B384" s="2">
        <f t="shared" ca="1" si="21"/>
        <v>45474</v>
      </c>
      <c r="C384" t="str" cm="1">
        <f t="array" aca="1" ref="C384" ca="1">INDEX(Products!$A$2:$A$9,RANDBETWEEN(1,8))</f>
        <v>Jacket</v>
      </c>
      <c r="D384" t="str">
        <f ca="1">_xlfn.XLOOKUP(C384,Products!A:A,Products!B:B)</f>
        <v>Training Wear</v>
      </c>
      <c r="E384" t="str" cm="1">
        <f t="array" aca="1" ref="E384" ca="1">INDEX(Regions!$A$2:$A$7,RANDBETWEEN(1,6))</f>
        <v>Dublin</v>
      </c>
      <c r="F384">
        <f t="shared" ca="1" si="22"/>
        <v>5</v>
      </c>
      <c r="G384">
        <f ca="1">VLOOKUP(C384,Products!$A$2:$C$9,3,FALSE)</f>
        <v>90</v>
      </c>
      <c r="H384">
        <f t="shared" ca="1" si="23"/>
        <v>450</v>
      </c>
    </row>
    <row r="385" spans="1:8" x14ac:dyDescent="0.35">
      <c r="A385">
        <f t="shared" si="20"/>
        <v>1384</v>
      </c>
      <c r="B385" s="2">
        <f t="shared" ca="1" si="21"/>
        <v>45947</v>
      </c>
      <c r="C385" t="str" cm="1">
        <f t="array" aca="1" ref="C385" ca="1">INDEX(Products!$A$2:$A$9,RANDBETWEEN(1,8))</f>
        <v>Football</v>
      </c>
      <c r="D385" t="str">
        <f ca="1">_xlfn.XLOOKUP(C385,Products!A:A,Products!B:B)</f>
        <v>Equipment</v>
      </c>
      <c r="E385" t="str" cm="1">
        <f t="array" aca="1" ref="E385" ca="1">INDEX(Regions!$A$2:$A$7,RANDBETWEEN(1,6))</f>
        <v>Galway</v>
      </c>
      <c r="F385">
        <f t="shared" ca="1" si="22"/>
        <v>1</v>
      </c>
      <c r="G385">
        <f ca="1">VLOOKUP(C385,Products!$A$2:$C$9,3,FALSE)</f>
        <v>30</v>
      </c>
      <c r="H385">
        <f t="shared" ca="1" si="23"/>
        <v>30</v>
      </c>
    </row>
    <row r="386" spans="1:8" x14ac:dyDescent="0.35">
      <c r="A386">
        <f t="shared" si="20"/>
        <v>1385</v>
      </c>
      <c r="B386" s="2">
        <f t="shared" ca="1" si="21"/>
        <v>46017</v>
      </c>
      <c r="C386" t="str" cm="1">
        <f t="array" aca="1" ref="C386" ca="1">INDEX(Products!$A$2:$A$9,RANDBETWEEN(1,8))</f>
        <v>Scarf</v>
      </c>
      <c r="D386" t="str">
        <f ca="1">_xlfn.XLOOKUP(C386,Products!A:A,Products!B:B)</f>
        <v>Accessories</v>
      </c>
      <c r="E386" t="str" cm="1">
        <f t="array" aca="1" ref="E386" ca="1">INDEX(Regions!$A$2:$A$7,RANDBETWEEN(1,6))</f>
        <v>Galway</v>
      </c>
      <c r="F386">
        <f t="shared" ca="1" si="22"/>
        <v>1</v>
      </c>
      <c r="G386">
        <f ca="1">VLOOKUP(C386,Products!$A$2:$C$9,3,FALSE)</f>
        <v>20</v>
      </c>
      <c r="H386">
        <f t="shared" ca="1" si="23"/>
        <v>20</v>
      </c>
    </row>
    <row r="387" spans="1:8" x14ac:dyDescent="0.35">
      <c r="A387">
        <f t="shared" ref="A387:A450" si="24">ROW()+999</f>
        <v>1386</v>
      </c>
      <c r="B387" s="2">
        <f t="shared" ref="B387:B450" ca="1" si="25">DATE(2024,1,1)+RANDBETWEEN(0,730)</f>
        <v>45869</v>
      </c>
      <c r="C387" t="str" cm="1">
        <f t="array" aca="1" ref="C387" ca="1">INDEX(Products!$A$2:$A$9,RANDBETWEEN(1,8))</f>
        <v>Hat</v>
      </c>
      <c r="D387" t="str">
        <f ca="1">_xlfn.XLOOKUP(C387,Products!A:A,Products!B:B)</f>
        <v>Accessories</v>
      </c>
      <c r="E387" t="str" cm="1">
        <f t="array" aca="1" ref="E387" ca="1">INDEX(Regions!$A$2:$A$7,RANDBETWEEN(1,6))</f>
        <v>Cork</v>
      </c>
      <c r="F387">
        <f t="shared" ref="F387:F450" ca="1" si="26">RANDBETWEEN(1,5)</f>
        <v>2</v>
      </c>
      <c r="G387">
        <f ca="1">VLOOKUP(C387,Products!$A$2:$C$9,3,FALSE)</f>
        <v>25</v>
      </c>
      <c r="H387">
        <f t="shared" ref="H387:H450" ca="1" si="27">F387*G387</f>
        <v>50</v>
      </c>
    </row>
    <row r="388" spans="1:8" x14ac:dyDescent="0.35">
      <c r="A388">
        <f t="shared" si="24"/>
        <v>1387</v>
      </c>
      <c r="B388" s="2">
        <f t="shared" ca="1" si="25"/>
        <v>45571</v>
      </c>
      <c r="C388" t="str" cm="1">
        <f t="array" aca="1" ref="C388" ca="1">INDEX(Products!$A$2:$A$9,RANDBETWEEN(1,8))</f>
        <v>Training Top</v>
      </c>
      <c r="D388" t="str">
        <f ca="1">_xlfn.XLOOKUP(C388,Products!A:A,Products!B:B)</f>
        <v>Training Wear</v>
      </c>
      <c r="E388" t="str" cm="1">
        <f t="array" aca="1" ref="E388" ca="1">INDEX(Regions!$A$2:$A$7,RANDBETWEEN(1,6))</f>
        <v>Waterford</v>
      </c>
      <c r="F388">
        <f t="shared" ca="1" si="26"/>
        <v>3</v>
      </c>
      <c r="G388">
        <f ca="1">VLOOKUP(C388,Products!$A$2:$C$9,3,FALSE)</f>
        <v>55</v>
      </c>
      <c r="H388">
        <f t="shared" ca="1" si="27"/>
        <v>165</v>
      </c>
    </row>
    <row r="389" spans="1:8" x14ac:dyDescent="0.35">
      <c r="A389">
        <f t="shared" si="24"/>
        <v>1388</v>
      </c>
      <c r="B389" s="2">
        <f t="shared" ca="1" si="25"/>
        <v>45708</v>
      </c>
      <c r="C389" t="str" cm="1">
        <f t="array" aca="1" ref="C389" ca="1">INDEX(Products!$A$2:$A$9,RANDBETWEEN(1,8))</f>
        <v>Football</v>
      </c>
      <c r="D389" t="str">
        <f ca="1">_xlfn.XLOOKUP(C389,Products!A:A,Products!B:B)</f>
        <v>Equipment</v>
      </c>
      <c r="E389" t="str" cm="1">
        <f t="array" aca="1" ref="E389" ca="1">INDEX(Regions!$A$2:$A$7,RANDBETWEEN(1,6))</f>
        <v>Galway</v>
      </c>
      <c r="F389">
        <f t="shared" ca="1" si="26"/>
        <v>2</v>
      </c>
      <c r="G389">
        <f ca="1">VLOOKUP(C389,Products!$A$2:$C$9,3,FALSE)</f>
        <v>30</v>
      </c>
      <c r="H389">
        <f t="shared" ca="1" si="27"/>
        <v>60</v>
      </c>
    </row>
    <row r="390" spans="1:8" x14ac:dyDescent="0.35">
      <c r="A390">
        <f t="shared" si="24"/>
        <v>1389</v>
      </c>
      <c r="B390" s="2">
        <f t="shared" ca="1" si="25"/>
        <v>45756</v>
      </c>
      <c r="C390" t="str" cm="1">
        <f t="array" aca="1" ref="C390" ca="1">INDEX(Products!$A$2:$A$9,RANDBETWEEN(1,8))</f>
        <v>Jacket</v>
      </c>
      <c r="D390" t="str">
        <f ca="1">_xlfn.XLOOKUP(C390,Products!A:A,Products!B:B)</f>
        <v>Training Wear</v>
      </c>
      <c r="E390" t="str" cm="1">
        <f t="array" aca="1" ref="E390" ca="1">INDEX(Regions!$A$2:$A$7,RANDBETWEEN(1,6))</f>
        <v>Cork</v>
      </c>
      <c r="F390">
        <f t="shared" ca="1" si="26"/>
        <v>3</v>
      </c>
      <c r="G390">
        <f ca="1">VLOOKUP(C390,Products!$A$2:$C$9,3,FALSE)</f>
        <v>90</v>
      </c>
      <c r="H390">
        <f t="shared" ca="1" si="27"/>
        <v>270</v>
      </c>
    </row>
    <row r="391" spans="1:8" x14ac:dyDescent="0.35">
      <c r="A391">
        <f t="shared" si="24"/>
        <v>1390</v>
      </c>
      <c r="B391" s="2">
        <f t="shared" ca="1" si="25"/>
        <v>45427</v>
      </c>
      <c r="C391" t="str" cm="1">
        <f t="array" aca="1" ref="C391" ca="1">INDEX(Products!$A$2:$A$9,RANDBETWEEN(1,8))</f>
        <v>Hat</v>
      </c>
      <c r="D391" t="str">
        <f ca="1">_xlfn.XLOOKUP(C391,Products!A:A,Products!B:B)</f>
        <v>Accessories</v>
      </c>
      <c r="E391" t="str" cm="1">
        <f t="array" aca="1" ref="E391" ca="1">INDEX(Regions!$A$2:$A$7,RANDBETWEEN(1,6))</f>
        <v>Cork</v>
      </c>
      <c r="F391">
        <f t="shared" ca="1" si="26"/>
        <v>1</v>
      </c>
      <c r="G391">
        <f ca="1">VLOOKUP(C391,Products!$A$2:$C$9,3,FALSE)</f>
        <v>25</v>
      </c>
      <c r="H391">
        <f t="shared" ca="1" si="27"/>
        <v>25</v>
      </c>
    </row>
    <row r="392" spans="1:8" x14ac:dyDescent="0.35">
      <c r="A392">
        <f t="shared" si="24"/>
        <v>1391</v>
      </c>
      <c r="B392" s="2">
        <f t="shared" ca="1" si="25"/>
        <v>45542</v>
      </c>
      <c r="C392" t="str" cm="1">
        <f t="array" aca="1" ref="C392" ca="1">INDEX(Products!$A$2:$A$9,RANDBETWEEN(1,8))</f>
        <v>Third Jersey</v>
      </c>
      <c r="D392" t="str">
        <f ca="1">_xlfn.XLOOKUP(C392,Products!A:A,Products!B:B)</f>
        <v>Jerseys</v>
      </c>
      <c r="E392" t="str" cm="1">
        <f t="array" aca="1" ref="E392" ca="1">INDEX(Regions!$A$2:$A$7,RANDBETWEEN(1,6))</f>
        <v>Waterford</v>
      </c>
      <c r="F392">
        <f t="shared" ca="1" si="26"/>
        <v>3</v>
      </c>
      <c r="G392">
        <f ca="1">VLOOKUP(C392,Products!$A$2:$C$9,3,FALSE)</f>
        <v>85</v>
      </c>
      <c r="H392">
        <f t="shared" ca="1" si="27"/>
        <v>255</v>
      </c>
    </row>
    <row r="393" spans="1:8" x14ac:dyDescent="0.35">
      <c r="A393">
        <f t="shared" si="24"/>
        <v>1392</v>
      </c>
      <c r="B393" s="2">
        <f t="shared" ca="1" si="25"/>
        <v>45570</v>
      </c>
      <c r="C393" t="str" cm="1">
        <f t="array" aca="1" ref="C393" ca="1">INDEX(Products!$A$2:$A$9,RANDBETWEEN(1,8))</f>
        <v>Hat</v>
      </c>
      <c r="D393" t="str">
        <f ca="1">_xlfn.XLOOKUP(C393,Products!A:A,Products!B:B)</f>
        <v>Accessories</v>
      </c>
      <c r="E393" t="str" cm="1">
        <f t="array" aca="1" ref="E393" ca="1">INDEX(Regions!$A$2:$A$7,RANDBETWEEN(1,6))</f>
        <v>Cork</v>
      </c>
      <c r="F393">
        <f t="shared" ca="1" si="26"/>
        <v>1</v>
      </c>
      <c r="G393">
        <f ca="1">VLOOKUP(C393,Products!$A$2:$C$9,3,FALSE)</f>
        <v>25</v>
      </c>
      <c r="H393">
        <f t="shared" ca="1" si="27"/>
        <v>25</v>
      </c>
    </row>
    <row r="394" spans="1:8" x14ac:dyDescent="0.35">
      <c r="A394">
        <f t="shared" si="24"/>
        <v>1393</v>
      </c>
      <c r="B394" s="2">
        <f t="shared" ca="1" si="25"/>
        <v>45501</v>
      </c>
      <c r="C394" t="str" cm="1">
        <f t="array" aca="1" ref="C394" ca="1">INDEX(Products!$A$2:$A$9,RANDBETWEEN(1,8))</f>
        <v>Jacket</v>
      </c>
      <c r="D394" t="str">
        <f ca="1">_xlfn.XLOOKUP(C394,Products!A:A,Products!B:B)</f>
        <v>Training Wear</v>
      </c>
      <c r="E394" t="str" cm="1">
        <f t="array" aca="1" ref="E394" ca="1">INDEX(Regions!$A$2:$A$7,RANDBETWEEN(1,6))</f>
        <v>Galway</v>
      </c>
      <c r="F394">
        <f t="shared" ca="1" si="26"/>
        <v>3</v>
      </c>
      <c r="G394">
        <f ca="1">VLOOKUP(C394,Products!$A$2:$C$9,3,FALSE)</f>
        <v>90</v>
      </c>
      <c r="H394">
        <f t="shared" ca="1" si="27"/>
        <v>270</v>
      </c>
    </row>
    <row r="395" spans="1:8" x14ac:dyDescent="0.35">
      <c r="A395">
        <f t="shared" si="24"/>
        <v>1394</v>
      </c>
      <c r="B395" s="2">
        <f t="shared" ca="1" si="25"/>
        <v>45532</v>
      </c>
      <c r="C395" t="str" cm="1">
        <f t="array" aca="1" ref="C395" ca="1">INDEX(Products!$A$2:$A$9,RANDBETWEEN(1,8))</f>
        <v>Jacket</v>
      </c>
      <c r="D395" t="str">
        <f ca="1">_xlfn.XLOOKUP(C395,Products!A:A,Products!B:B)</f>
        <v>Training Wear</v>
      </c>
      <c r="E395" t="str" cm="1">
        <f t="array" aca="1" ref="E395" ca="1">INDEX(Regions!$A$2:$A$7,RANDBETWEEN(1,6))</f>
        <v>Belfast</v>
      </c>
      <c r="F395">
        <f t="shared" ca="1" si="26"/>
        <v>2</v>
      </c>
      <c r="G395">
        <f ca="1">VLOOKUP(C395,Products!$A$2:$C$9,3,FALSE)</f>
        <v>90</v>
      </c>
      <c r="H395">
        <f t="shared" ca="1" si="27"/>
        <v>180</v>
      </c>
    </row>
    <row r="396" spans="1:8" x14ac:dyDescent="0.35">
      <c r="A396">
        <f t="shared" si="24"/>
        <v>1395</v>
      </c>
      <c r="B396" s="2">
        <f t="shared" ca="1" si="25"/>
        <v>45868</v>
      </c>
      <c r="C396" t="str" cm="1">
        <f t="array" aca="1" ref="C396" ca="1">INDEX(Products!$A$2:$A$9,RANDBETWEEN(1,8))</f>
        <v>Hat</v>
      </c>
      <c r="D396" t="str">
        <f ca="1">_xlfn.XLOOKUP(C396,Products!A:A,Products!B:B)</f>
        <v>Accessories</v>
      </c>
      <c r="E396" t="str" cm="1">
        <f t="array" aca="1" ref="E396" ca="1">INDEX(Regions!$A$2:$A$7,RANDBETWEEN(1,6))</f>
        <v>Dublin</v>
      </c>
      <c r="F396">
        <f t="shared" ca="1" si="26"/>
        <v>1</v>
      </c>
      <c r="G396">
        <f ca="1">VLOOKUP(C396,Products!$A$2:$C$9,3,FALSE)</f>
        <v>25</v>
      </c>
      <c r="H396">
        <f t="shared" ca="1" si="27"/>
        <v>25</v>
      </c>
    </row>
    <row r="397" spans="1:8" x14ac:dyDescent="0.35">
      <c r="A397">
        <f t="shared" si="24"/>
        <v>1396</v>
      </c>
      <c r="B397" s="2">
        <f t="shared" ca="1" si="25"/>
        <v>45660</v>
      </c>
      <c r="C397" t="str" cm="1">
        <f t="array" aca="1" ref="C397" ca="1">INDEX(Products!$A$2:$A$9,RANDBETWEEN(1,8))</f>
        <v>Jacket</v>
      </c>
      <c r="D397" t="str">
        <f ca="1">_xlfn.XLOOKUP(C397,Products!A:A,Products!B:B)</f>
        <v>Training Wear</v>
      </c>
      <c r="E397" t="str" cm="1">
        <f t="array" aca="1" ref="E397" ca="1">INDEX(Regions!$A$2:$A$7,RANDBETWEEN(1,6))</f>
        <v>Cork</v>
      </c>
      <c r="F397">
        <f t="shared" ca="1" si="26"/>
        <v>4</v>
      </c>
      <c r="G397">
        <f ca="1">VLOOKUP(C397,Products!$A$2:$C$9,3,FALSE)</f>
        <v>90</v>
      </c>
      <c r="H397">
        <f t="shared" ca="1" si="27"/>
        <v>360</v>
      </c>
    </row>
    <row r="398" spans="1:8" x14ac:dyDescent="0.35">
      <c r="A398">
        <f t="shared" si="24"/>
        <v>1397</v>
      </c>
      <c r="B398" s="2">
        <f t="shared" ca="1" si="25"/>
        <v>45492</v>
      </c>
      <c r="C398" t="str" cm="1">
        <f t="array" aca="1" ref="C398" ca="1">INDEX(Products!$A$2:$A$9,RANDBETWEEN(1,8))</f>
        <v>Away Jersey</v>
      </c>
      <c r="D398" t="str">
        <f ca="1">_xlfn.XLOOKUP(C398,Products!A:A,Products!B:B)</f>
        <v>Jerseys</v>
      </c>
      <c r="E398" t="str" cm="1">
        <f t="array" aca="1" ref="E398" ca="1">INDEX(Regions!$A$2:$A$7,RANDBETWEEN(1,6))</f>
        <v>Belfast</v>
      </c>
      <c r="F398">
        <f t="shared" ca="1" si="26"/>
        <v>2</v>
      </c>
      <c r="G398">
        <f ca="1">VLOOKUP(C398,Products!$A$2:$C$9,3,FALSE)</f>
        <v>80</v>
      </c>
      <c r="H398">
        <f t="shared" ca="1" si="27"/>
        <v>160</v>
      </c>
    </row>
    <row r="399" spans="1:8" x14ac:dyDescent="0.35">
      <c r="A399">
        <f t="shared" si="24"/>
        <v>1398</v>
      </c>
      <c r="B399" s="2">
        <f t="shared" ca="1" si="25"/>
        <v>46000</v>
      </c>
      <c r="C399" t="str" cm="1">
        <f t="array" aca="1" ref="C399" ca="1">INDEX(Products!$A$2:$A$9,RANDBETWEEN(1,8))</f>
        <v>Hat</v>
      </c>
      <c r="D399" t="str">
        <f ca="1">_xlfn.XLOOKUP(C399,Products!A:A,Products!B:B)</f>
        <v>Accessories</v>
      </c>
      <c r="E399" t="str" cm="1">
        <f t="array" aca="1" ref="E399" ca="1">INDEX(Regions!$A$2:$A$7,RANDBETWEEN(1,6))</f>
        <v>Cork</v>
      </c>
      <c r="F399">
        <f t="shared" ca="1" si="26"/>
        <v>1</v>
      </c>
      <c r="G399">
        <f ca="1">VLOOKUP(C399,Products!$A$2:$C$9,3,FALSE)</f>
        <v>25</v>
      </c>
      <c r="H399">
        <f t="shared" ca="1" si="27"/>
        <v>25</v>
      </c>
    </row>
    <row r="400" spans="1:8" x14ac:dyDescent="0.35">
      <c r="A400">
        <f t="shared" si="24"/>
        <v>1399</v>
      </c>
      <c r="B400" s="2">
        <f t="shared" ca="1" si="25"/>
        <v>45595</v>
      </c>
      <c r="C400" t="str" cm="1">
        <f t="array" aca="1" ref="C400" ca="1">INDEX(Products!$A$2:$A$9,RANDBETWEEN(1,8))</f>
        <v>Training Top</v>
      </c>
      <c r="D400" t="str">
        <f ca="1">_xlfn.XLOOKUP(C400,Products!A:A,Products!B:B)</f>
        <v>Training Wear</v>
      </c>
      <c r="E400" t="str" cm="1">
        <f t="array" aca="1" ref="E400" ca="1">INDEX(Regions!$A$2:$A$7,RANDBETWEEN(1,6))</f>
        <v>Cork</v>
      </c>
      <c r="F400">
        <f t="shared" ca="1" si="26"/>
        <v>5</v>
      </c>
      <c r="G400">
        <f ca="1">VLOOKUP(C400,Products!$A$2:$C$9,3,FALSE)</f>
        <v>55</v>
      </c>
      <c r="H400">
        <f t="shared" ca="1" si="27"/>
        <v>275</v>
      </c>
    </row>
    <row r="401" spans="1:8" x14ac:dyDescent="0.35">
      <c r="A401">
        <f t="shared" si="24"/>
        <v>1400</v>
      </c>
      <c r="B401" s="2">
        <f t="shared" ca="1" si="25"/>
        <v>46017</v>
      </c>
      <c r="C401" t="str" cm="1">
        <f t="array" aca="1" ref="C401" ca="1">INDEX(Products!$A$2:$A$9,RANDBETWEEN(1,8))</f>
        <v>Football</v>
      </c>
      <c r="D401" t="str">
        <f ca="1">_xlfn.XLOOKUP(C401,Products!A:A,Products!B:B)</f>
        <v>Equipment</v>
      </c>
      <c r="E401" t="str" cm="1">
        <f t="array" aca="1" ref="E401" ca="1">INDEX(Regions!$A$2:$A$7,RANDBETWEEN(1,6))</f>
        <v>Limerick</v>
      </c>
      <c r="F401">
        <f t="shared" ca="1" si="26"/>
        <v>4</v>
      </c>
      <c r="G401">
        <f ca="1">VLOOKUP(C401,Products!$A$2:$C$9,3,FALSE)</f>
        <v>30</v>
      </c>
      <c r="H401">
        <f t="shared" ca="1" si="27"/>
        <v>120</v>
      </c>
    </row>
    <row r="402" spans="1:8" x14ac:dyDescent="0.35">
      <c r="A402">
        <f t="shared" si="24"/>
        <v>1401</v>
      </c>
      <c r="B402" s="2">
        <f t="shared" ca="1" si="25"/>
        <v>45923</v>
      </c>
      <c r="C402" t="str" cm="1">
        <f t="array" aca="1" ref="C402" ca="1">INDEX(Products!$A$2:$A$9,RANDBETWEEN(1,8))</f>
        <v>Football</v>
      </c>
      <c r="D402" t="str">
        <f ca="1">_xlfn.XLOOKUP(C402,Products!A:A,Products!B:B)</f>
        <v>Equipment</v>
      </c>
      <c r="E402" t="str" cm="1">
        <f t="array" aca="1" ref="E402" ca="1">INDEX(Regions!$A$2:$A$7,RANDBETWEEN(1,6))</f>
        <v>Belfast</v>
      </c>
      <c r="F402">
        <f t="shared" ca="1" si="26"/>
        <v>3</v>
      </c>
      <c r="G402">
        <f ca="1">VLOOKUP(C402,Products!$A$2:$C$9,3,FALSE)</f>
        <v>30</v>
      </c>
      <c r="H402">
        <f t="shared" ca="1" si="27"/>
        <v>90</v>
      </c>
    </row>
    <row r="403" spans="1:8" x14ac:dyDescent="0.35">
      <c r="A403">
        <f t="shared" si="24"/>
        <v>1402</v>
      </c>
      <c r="B403" s="2">
        <f t="shared" ca="1" si="25"/>
        <v>45895</v>
      </c>
      <c r="C403" t="str" cm="1">
        <f t="array" aca="1" ref="C403" ca="1">INDEX(Products!$A$2:$A$9,RANDBETWEEN(1,8))</f>
        <v>Football</v>
      </c>
      <c r="D403" t="str">
        <f ca="1">_xlfn.XLOOKUP(C403,Products!A:A,Products!B:B)</f>
        <v>Equipment</v>
      </c>
      <c r="E403" t="str" cm="1">
        <f t="array" aca="1" ref="E403" ca="1">INDEX(Regions!$A$2:$A$7,RANDBETWEEN(1,6))</f>
        <v>Belfast</v>
      </c>
      <c r="F403">
        <f t="shared" ca="1" si="26"/>
        <v>5</v>
      </c>
      <c r="G403">
        <f ca="1">VLOOKUP(C403,Products!$A$2:$C$9,3,FALSE)</f>
        <v>30</v>
      </c>
      <c r="H403">
        <f t="shared" ca="1" si="27"/>
        <v>150</v>
      </c>
    </row>
    <row r="404" spans="1:8" x14ac:dyDescent="0.35">
      <c r="A404">
        <f t="shared" si="24"/>
        <v>1403</v>
      </c>
      <c r="B404" s="2">
        <f t="shared" ca="1" si="25"/>
        <v>45730</v>
      </c>
      <c r="C404" t="str" cm="1">
        <f t="array" aca="1" ref="C404" ca="1">INDEX(Products!$A$2:$A$9,RANDBETWEEN(1,8))</f>
        <v>Third Jersey</v>
      </c>
      <c r="D404" t="str">
        <f ca="1">_xlfn.XLOOKUP(C404,Products!A:A,Products!B:B)</f>
        <v>Jerseys</v>
      </c>
      <c r="E404" t="str" cm="1">
        <f t="array" aca="1" ref="E404" ca="1">INDEX(Regions!$A$2:$A$7,RANDBETWEEN(1,6))</f>
        <v>Galway</v>
      </c>
      <c r="F404">
        <f t="shared" ca="1" si="26"/>
        <v>4</v>
      </c>
      <c r="G404">
        <f ca="1">VLOOKUP(C404,Products!$A$2:$C$9,3,FALSE)</f>
        <v>85</v>
      </c>
      <c r="H404">
        <f t="shared" ca="1" si="27"/>
        <v>340</v>
      </c>
    </row>
    <row r="405" spans="1:8" x14ac:dyDescent="0.35">
      <c r="A405">
        <f t="shared" si="24"/>
        <v>1404</v>
      </c>
      <c r="B405" s="2">
        <f t="shared" ca="1" si="25"/>
        <v>45537</v>
      </c>
      <c r="C405" t="str" cm="1">
        <f t="array" aca="1" ref="C405" ca="1">INDEX(Products!$A$2:$A$9,RANDBETWEEN(1,8))</f>
        <v>Scarf</v>
      </c>
      <c r="D405" t="str">
        <f ca="1">_xlfn.XLOOKUP(C405,Products!A:A,Products!B:B)</f>
        <v>Accessories</v>
      </c>
      <c r="E405" t="str" cm="1">
        <f t="array" aca="1" ref="E405" ca="1">INDEX(Regions!$A$2:$A$7,RANDBETWEEN(1,6))</f>
        <v>Cork</v>
      </c>
      <c r="F405">
        <f t="shared" ca="1" si="26"/>
        <v>3</v>
      </c>
      <c r="G405">
        <f ca="1">VLOOKUP(C405,Products!$A$2:$C$9,3,FALSE)</f>
        <v>20</v>
      </c>
      <c r="H405">
        <f t="shared" ca="1" si="27"/>
        <v>60</v>
      </c>
    </row>
    <row r="406" spans="1:8" x14ac:dyDescent="0.35">
      <c r="A406">
        <f t="shared" si="24"/>
        <v>1405</v>
      </c>
      <c r="B406" s="2">
        <f t="shared" ca="1" si="25"/>
        <v>45916</v>
      </c>
      <c r="C406" t="str" cm="1">
        <f t="array" aca="1" ref="C406" ca="1">INDEX(Products!$A$2:$A$9,RANDBETWEEN(1,8))</f>
        <v>Home Jersey</v>
      </c>
      <c r="D406" t="str">
        <f ca="1">_xlfn.XLOOKUP(C406,Products!A:A,Products!B:B)</f>
        <v>Jerseys</v>
      </c>
      <c r="E406" t="str" cm="1">
        <f t="array" aca="1" ref="E406" ca="1">INDEX(Regions!$A$2:$A$7,RANDBETWEEN(1,6))</f>
        <v>Belfast</v>
      </c>
      <c r="F406">
        <f t="shared" ca="1" si="26"/>
        <v>4</v>
      </c>
      <c r="G406">
        <f ca="1">VLOOKUP(C406,Products!$A$2:$C$9,3,FALSE)</f>
        <v>80</v>
      </c>
      <c r="H406">
        <f t="shared" ca="1" si="27"/>
        <v>320</v>
      </c>
    </row>
    <row r="407" spans="1:8" x14ac:dyDescent="0.35">
      <c r="A407">
        <f t="shared" si="24"/>
        <v>1406</v>
      </c>
      <c r="B407" s="2">
        <f t="shared" ca="1" si="25"/>
        <v>45732</v>
      </c>
      <c r="C407" t="str" cm="1">
        <f t="array" aca="1" ref="C407" ca="1">INDEX(Products!$A$2:$A$9,RANDBETWEEN(1,8))</f>
        <v>Hat</v>
      </c>
      <c r="D407" t="str">
        <f ca="1">_xlfn.XLOOKUP(C407,Products!A:A,Products!B:B)</f>
        <v>Accessories</v>
      </c>
      <c r="E407" t="str" cm="1">
        <f t="array" aca="1" ref="E407" ca="1">INDEX(Regions!$A$2:$A$7,RANDBETWEEN(1,6))</f>
        <v>Galway</v>
      </c>
      <c r="F407">
        <f t="shared" ca="1" si="26"/>
        <v>3</v>
      </c>
      <c r="G407">
        <f ca="1">VLOOKUP(C407,Products!$A$2:$C$9,3,FALSE)</f>
        <v>25</v>
      </c>
      <c r="H407">
        <f t="shared" ca="1" si="27"/>
        <v>75</v>
      </c>
    </row>
    <row r="408" spans="1:8" x14ac:dyDescent="0.35">
      <c r="A408">
        <f t="shared" si="24"/>
        <v>1407</v>
      </c>
      <c r="B408" s="2">
        <f t="shared" ca="1" si="25"/>
        <v>45641</v>
      </c>
      <c r="C408" t="str" cm="1">
        <f t="array" aca="1" ref="C408" ca="1">INDEX(Products!$A$2:$A$9,RANDBETWEEN(1,8))</f>
        <v>Jacket</v>
      </c>
      <c r="D408" t="str">
        <f ca="1">_xlfn.XLOOKUP(C408,Products!A:A,Products!B:B)</f>
        <v>Training Wear</v>
      </c>
      <c r="E408" t="str" cm="1">
        <f t="array" aca="1" ref="E408" ca="1">INDEX(Regions!$A$2:$A$7,RANDBETWEEN(1,6))</f>
        <v>Cork</v>
      </c>
      <c r="F408">
        <f t="shared" ca="1" si="26"/>
        <v>5</v>
      </c>
      <c r="G408">
        <f ca="1">VLOOKUP(C408,Products!$A$2:$C$9,3,FALSE)</f>
        <v>90</v>
      </c>
      <c r="H408">
        <f t="shared" ca="1" si="27"/>
        <v>450</v>
      </c>
    </row>
    <row r="409" spans="1:8" x14ac:dyDescent="0.35">
      <c r="A409">
        <f t="shared" si="24"/>
        <v>1408</v>
      </c>
      <c r="B409" s="2">
        <f t="shared" ca="1" si="25"/>
        <v>45566</v>
      </c>
      <c r="C409" t="str" cm="1">
        <f t="array" aca="1" ref="C409" ca="1">INDEX(Products!$A$2:$A$9,RANDBETWEEN(1,8))</f>
        <v>Home Jersey</v>
      </c>
      <c r="D409" t="str">
        <f ca="1">_xlfn.XLOOKUP(C409,Products!A:A,Products!B:B)</f>
        <v>Jerseys</v>
      </c>
      <c r="E409" t="str" cm="1">
        <f t="array" aca="1" ref="E409" ca="1">INDEX(Regions!$A$2:$A$7,RANDBETWEEN(1,6))</f>
        <v>Dublin</v>
      </c>
      <c r="F409">
        <f t="shared" ca="1" si="26"/>
        <v>5</v>
      </c>
      <c r="G409">
        <f ca="1">VLOOKUP(C409,Products!$A$2:$C$9,3,FALSE)</f>
        <v>80</v>
      </c>
      <c r="H409">
        <f t="shared" ca="1" si="27"/>
        <v>400</v>
      </c>
    </row>
    <row r="410" spans="1:8" x14ac:dyDescent="0.35">
      <c r="A410">
        <f t="shared" si="24"/>
        <v>1409</v>
      </c>
      <c r="B410" s="2">
        <f t="shared" ca="1" si="25"/>
        <v>45999</v>
      </c>
      <c r="C410" t="str" cm="1">
        <f t="array" aca="1" ref="C410" ca="1">INDEX(Products!$A$2:$A$9,RANDBETWEEN(1,8))</f>
        <v>Hat</v>
      </c>
      <c r="D410" t="str">
        <f ca="1">_xlfn.XLOOKUP(C410,Products!A:A,Products!B:B)</f>
        <v>Accessories</v>
      </c>
      <c r="E410" t="str" cm="1">
        <f t="array" aca="1" ref="E410" ca="1">INDEX(Regions!$A$2:$A$7,RANDBETWEEN(1,6))</f>
        <v>Galway</v>
      </c>
      <c r="F410">
        <f t="shared" ca="1" si="26"/>
        <v>3</v>
      </c>
      <c r="G410">
        <f ca="1">VLOOKUP(C410,Products!$A$2:$C$9,3,FALSE)</f>
        <v>25</v>
      </c>
      <c r="H410">
        <f t="shared" ca="1" si="27"/>
        <v>75</v>
      </c>
    </row>
    <row r="411" spans="1:8" x14ac:dyDescent="0.35">
      <c r="A411">
        <f t="shared" si="24"/>
        <v>1410</v>
      </c>
      <c r="B411" s="2">
        <f t="shared" ca="1" si="25"/>
        <v>45614</v>
      </c>
      <c r="C411" t="str" cm="1">
        <f t="array" aca="1" ref="C411" ca="1">INDEX(Products!$A$2:$A$9,RANDBETWEEN(1,8))</f>
        <v>Training Top</v>
      </c>
      <c r="D411" t="str">
        <f ca="1">_xlfn.XLOOKUP(C411,Products!A:A,Products!B:B)</f>
        <v>Training Wear</v>
      </c>
      <c r="E411" t="str" cm="1">
        <f t="array" aca="1" ref="E411" ca="1">INDEX(Regions!$A$2:$A$7,RANDBETWEEN(1,6))</f>
        <v>Waterford</v>
      </c>
      <c r="F411">
        <f t="shared" ca="1" si="26"/>
        <v>3</v>
      </c>
      <c r="G411">
        <f ca="1">VLOOKUP(C411,Products!$A$2:$C$9,3,FALSE)</f>
        <v>55</v>
      </c>
      <c r="H411">
        <f t="shared" ca="1" si="27"/>
        <v>165</v>
      </c>
    </row>
    <row r="412" spans="1:8" x14ac:dyDescent="0.35">
      <c r="A412">
        <f t="shared" si="24"/>
        <v>1411</v>
      </c>
      <c r="B412" s="2">
        <f t="shared" ca="1" si="25"/>
        <v>45307</v>
      </c>
      <c r="C412" t="str" cm="1">
        <f t="array" aca="1" ref="C412" ca="1">INDEX(Products!$A$2:$A$9,RANDBETWEEN(1,8))</f>
        <v>Football</v>
      </c>
      <c r="D412" t="str">
        <f ca="1">_xlfn.XLOOKUP(C412,Products!A:A,Products!B:B)</f>
        <v>Equipment</v>
      </c>
      <c r="E412" t="str" cm="1">
        <f t="array" aca="1" ref="E412" ca="1">INDEX(Regions!$A$2:$A$7,RANDBETWEEN(1,6))</f>
        <v>Cork</v>
      </c>
      <c r="F412">
        <f t="shared" ca="1" si="26"/>
        <v>4</v>
      </c>
      <c r="G412">
        <f ca="1">VLOOKUP(C412,Products!$A$2:$C$9,3,FALSE)</f>
        <v>30</v>
      </c>
      <c r="H412">
        <f t="shared" ca="1" si="27"/>
        <v>120</v>
      </c>
    </row>
    <row r="413" spans="1:8" x14ac:dyDescent="0.35">
      <c r="A413">
        <f t="shared" si="24"/>
        <v>1412</v>
      </c>
      <c r="B413" s="2">
        <f t="shared" ca="1" si="25"/>
        <v>45588</v>
      </c>
      <c r="C413" t="str" cm="1">
        <f t="array" aca="1" ref="C413" ca="1">INDEX(Products!$A$2:$A$9,RANDBETWEEN(1,8))</f>
        <v>Training Top</v>
      </c>
      <c r="D413" t="str">
        <f ca="1">_xlfn.XLOOKUP(C413,Products!A:A,Products!B:B)</f>
        <v>Training Wear</v>
      </c>
      <c r="E413" t="str" cm="1">
        <f t="array" aca="1" ref="E413" ca="1">INDEX(Regions!$A$2:$A$7,RANDBETWEEN(1,6))</f>
        <v>Belfast</v>
      </c>
      <c r="F413">
        <f t="shared" ca="1" si="26"/>
        <v>3</v>
      </c>
      <c r="G413">
        <f ca="1">VLOOKUP(C413,Products!$A$2:$C$9,3,FALSE)</f>
        <v>55</v>
      </c>
      <c r="H413">
        <f t="shared" ca="1" si="27"/>
        <v>165</v>
      </c>
    </row>
    <row r="414" spans="1:8" x14ac:dyDescent="0.35">
      <c r="A414">
        <f t="shared" si="24"/>
        <v>1413</v>
      </c>
      <c r="B414" s="2">
        <f t="shared" ca="1" si="25"/>
        <v>45342</v>
      </c>
      <c r="C414" t="str" cm="1">
        <f t="array" aca="1" ref="C414" ca="1">INDEX(Products!$A$2:$A$9,RANDBETWEEN(1,8))</f>
        <v>Home Jersey</v>
      </c>
      <c r="D414" t="str">
        <f ca="1">_xlfn.XLOOKUP(C414,Products!A:A,Products!B:B)</f>
        <v>Jerseys</v>
      </c>
      <c r="E414" t="str" cm="1">
        <f t="array" aca="1" ref="E414" ca="1">INDEX(Regions!$A$2:$A$7,RANDBETWEEN(1,6))</f>
        <v>Cork</v>
      </c>
      <c r="F414">
        <f t="shared" ca="1" si="26"/>
        <v>3</v>
      </c>
      <c r="G414">
        <f ca="1">VLOOKUP(C414,Products!$A$2:$C$9,3,FALSE)</f>
        <v>80</v>
      </c>
      <c r="H414">
        <f t="shared" ca="1" si="27"/>
        <v>240</v>
      </c>
    </row>
    <row r="415" spans="1:8" x14ac:dyDescent="0.35">
      <c r="A415">
        <f t="shared" si="24"/>
        <v>1414</v>
      </c>
      <c r="B415" s="2">
        <f t="shared" ca="1" si="25"/>
        <v>45403</v>
      </c>
      <c r="C415" t="str" cm="1">
        <f t="array" aca="1" ref="C415" ca="1">INDEX(Products!$A$2:$A$9,RANDBETWEEN(1,8))</f>
        <v>Home Jersey</v>
      </c>
      <c r="D415" t="str">
        <f ca="1">_xlfn.XLOOKUP(C415,Products!A:A,Products!B:B)</f>
        <v>Jerseys</v>
      </c>
      <c r="E415" t="str" cm="1">
        <f t="array" aca="1" ref="E415" ca="1">INDEX(Regions!$A$2:$A$7,RANDBETWEEN(1,6))</f>
        <v>Dublin</v>
      </c>
      <c r="F415">
        <f t="shared" ca="1" si="26"/>
        <v>1</v>
      </c>
      <c r="G415">
        <f ca="1">VLOOKUP(C415,Products!$A$2:$C$9,3,FALSE)</f>
        <v>80</v>
      </c>
      <c r="H415">
        <f t="shared" ca="1" si="27"/>
        <v>80</v>
      </c>
    </row>
    <row r="416" spans="1:8" x14ac:dyDescent="0.35">
      <c r="A416">
        <f t="shared" si="24"/>
        <v>1415</v>
      </c>
      <c r="B416" s="2">
        <f t="shared" ca="1" si="25"/>
        <v>45835</v>
      </c>
      <c r="C416" t="str" cm="1">
        <f t="array" aca="1" ref="C416" ca="1">INDEX(Products!$A$2:$A$9,RANDBETWEEN(1,8))</f>
        <v>Jacket</v>
      </c>
      <c r="D416" t="str">
        <f ca="1">_xlfn.XLOOKUP(C416,Products!A:A,Products!B:B)</f>
        <v>Training Wear</v>
      </c>
      <c r="E416" t="str" cm="1">
        <f t="array" aca="1" ref="E416" ca="1">INDEX(Regions!$A$2:$A$7,RANDBETWEEN(1,6))</f>
        <v>Belfast</v>
      </c>
      <c r="F416">
        <f t="shared" ca="1" si="26"/>
        <v>3</v>
      </c>
      <c r="G416">
        <f ca="1">VLOOKUP(C416,Products!$A$2:$C$9,3,FALSE)</f>
        <v>90</v>
      </c>
      <c r="H416">
        <f t="shared" ca="1" si="27"/>
        <v>270</v>
      </c>
    </row>
    <row r="417" spans="1:8" x14ac:dyDescent="0.35">
      <c r="A417">
        <f t="shared" si="24"/>
        <v>1416</v>
      </c>
      <c r="B417" s="2">
        <f t="shared" ca="1" si="25"/>
        <v>45974</v>
      </c>
      <c r="C417" t="str" cm="1">
        <f t="array" aca="1" ref="C417" ca="1">INDEX(Products!$A$2:$A$9,RANDBETWEEN(1,8))</f>
        <v>Training Top</v>
      </c>
      <c r="D417" t="str">
        <f ca="1">_xlfn.XLOOKUP(C417,Products!A:A,Products!B:B)</f>
        <v>Training Wear</v>
      </c>
      <c r="E417" t="str" cm="1">
        <f t="array" aca="1" ref="E417" ca="1">INDEX(Regions!$A$2:$A$7,RANDBETWEEN(1,6))</f>
        <v>Waterford</v>
      </c>
      <c r="F417">
        <f t="shared" ca="1" si="26"/>
        <v>3</v>
      </c>
      <c r="G417">
        <f ca="1">VLOOKUP(C417,Products!$A$2:$C$9,3,FALSE)</f>
        <v>55</v>
      </c>
      <c r="H417">
        <f t="shared" ca="1" si="27"/>
        <v>165</v>
      </c>
    </row>
    <row r="418" spans="1:8" x14ac:dyDescent="0.35">
      <c r="A418">
        <f t="shared" si="24"/>
        <v>1417</v>
      </c>
      <c r="B418" s="2">
        <f t="shared" ca="1" si="25"/>
        <v>45537</v>
      </c>
      <c r="C418" t="str" cm="1">
        <f t="array" aca="1" ref="C418" ca="1">INDEX(Products!$A$2:$A$9,RANDBETWEEN(1,8))</f>
        <v>Third Jersey</v>
      </c>
      <c r="D418" t="str">
        <f ca="1">_xlfn.XLOOKUP(C418,Products!A:A,Products!B:B)</f>
        <v>Jerseys</v>
      </c>
      <c r="E418" t="str" cm="1">
        <f t="array" aca="1" ref="E418" ca="1">INDEX(Regions!$A$2:$A$7,RANDBETWEEN(1,6))</f>
        <v>Belfast</v>
      </c>
      <c r="F418">
        <f t="shared" ca="1" si="26"/>
        <v>1</v>
      </c>
      <c r="G418">
        <f ca="1">VLOOKUP(C418,Products!$A$2:$C$9,3,FALSE)</f>
        <v>85</v>
      </c>
      <c r="H418">
        <f t="shared" ca="1" si="27"/>
        <v>85</v>
      </c>
    </row>
    <row r="419" spans="1:8" x14ac:dyDescent="0.35">
      <c r="A419">
        <f t="shared" si="24"/>
        <v>1418</v>
      </c>
      <c r="B419" s="2">
        <f t="shared" ca="1" si="25"/>
        <v>45515</v>
      </c>
      <c r="C419" t="str" cm="1">
        <f t="array" aca="1" ref="C419" ca="1">INDEX(Products!$A$2:$A$9,RANDBETWEEN(1,8))</f>
        <v>Third Jersey</v>
      </c>
      <c r="D419" t="str">
        <f ca="1">_xlfn.XLOOKUP(C419,Products!A:A,Products!B:B)</f>
        <v>Jerseys</v>
      </c>
      <c r="E419" t="str" cm="1">
        <f t="array" aca="1" ref="E419" ca="1">INDEX(Regions!$A$2:$A$7,RANDBETWEEN(1,6))</f>
        <v>Belfast</v>
      </c>
      <c r="F419">
        <f t="shared" ca="1" si="26"/>
        <v>1</v>
      </c>
      <c r="G419">
        <f ca="1">VLOOKUP(C419,Products!$A$2:$C$9,3,FALSE)</f>
        <v>85</v>
      </c>
      <c r="H419">
        <f t="shared" ca="1" si="27"/>
        <v>85</v>
      </c>
    </row>
    <row r="420" spans="1:8" x14ac:dyDescent="0.35">
      <c r="A420">
        <f t="shared" si="24"/>
        <v>1419</v>
      </c>
      <c r="B420" s="2">
        <f t="shared" ca="1" si="25"/>
        <v>45753</v>
      </c>
      <c r="C420" t="str" cm="1">
        <f t="array" aca="1" ref="C420" ca="1">INDEX(Products!$A$2:$A$9,RANDBETWEEN(1,8))</f>
        <v>Jacket</v>
      </c>
      <c r="D420" t="str">
        <f ca="1">_xlfn.XLOOKUP(C420,Products!A:A,Products!B:B)</f>
        <v>Training Wear</v>
      </c>
      <c r="E420" t="str" cm="1">
        <f t="array" aca="1" ref="E420" ca="1">INDEX(Regions!$A$2:$A$7,RANDBETWEEN(1,6))</f>
        <v>Waterford</v>
      </c>
      <c r="F420">
        <f t="shared" ca="1" si="26"/>
        <v>2</v>
      </c>
      <c r="G420">
        <f ca="1">VLOOKUP(C420,Products!$A$2:$C$9,3,FALSE)</f>
        <v>90</v>
      </c>
      <c r="H420">
        <f t="shared" ca="1" si="27"/>
        <v>180</v>
      </c>
    </row>
    <row r="421" spans="1:8" x14ac:dyDescent="0.35">
      <c r="A421">
        <f t="shared" si="24"/>
        <v>1420</v>
      </c>
      <c r="B421" s="2">
        <f t="shared" ca="1" si="25"/>
        <v>45552</v>
      </c>
      <c r="C421" t="str" cm="1">
        <f t="array" aca="1" ref="C421" ca="1">INDEX(Products!$A$2:$A$9,RANDBETWEEN(1,8))</f>
        <v>Hat</v>
      </c>
      <c r="D421" t="str">
        <f ca="1">_xlfn.XLOOKUP(C421,Products!A:A,Products!B:B)</f>
        <v>Accessories</v>
      </c>
      <c r="E421" t="str" cm="1">
        <f t="array" aca="1" ref="E421" ca="1">INDEX(Regions!$A$2:$A$7,RANDBETWEEN(1,6))</f>
        <v>Galway</v>
      </c>
      <c r="F421">
        <f t="shared" ca="1" si="26"/>
        <v>2</v>
      </c>
      <c r="G421">
        <f ca="1">VLOOKUP(C421,Products!$A$2:$C$9,3,FALSE)</f>
        <v>25</v>
      </c>
      <c r="H421">
        <f t="shared" ca="1" si="27"/>
        <v>50</v>
      </c>
    </row>
    <row r="422" spans="1:8" x14ac:dyDescent="0.35">
      <c r="A422">
        <f t="shared" si="24"/>
        <v>1421</v>
      </c>
      <c r="B422" s="2">
        <f t="shared" ca="1" si="25"/>
        <v>46005</v>
      </c>
      <c r="C422" t="str" cm="1">
        <f t="array" aca="1" ref="C422" ca="1">INDEX(Products!$A$2:$A$9,RANDBETWEEN(1,8))</f>
        <v>Jacket</v>
      </c>
      <c r="D422" t="str">
        <f ca="1">_xlfn.XLOOKUP(C422,Products!A:A,Products!B:B)</f>
        <v>Training Wear</v>
      </c>
      <c r="E422" t="str" cm="1">
        <f t="array" aca="1" ref="E422" ca="1">INDEX(Regions!$A$2:$A$7,RANDBETWEEN(1,6))</f>
        <v>Galway</v>
      </c>
      <c r="F422">
        <f t="shared" ca="1" si="26"/>
        <v>5</v>
      </c>
      <c r="G422">
        <f ca="1">VLOOKUP(C422,Products!$A$2:$C$9,3,FALSE)</f>
        <v>90</v>
      </c>
      <c r="H422">
        <f t="shared" ca="1" si="27"/>
        <v>450</v>
      </c>
    </row>
    <row r="423" spans="1:8" x14ac:dyDescent="0.35">
      <c r="A423">
        <f t="shared" si="24"/>
        <v>1422</v>
      </c>
      <c r="B423" s="2">
        <f t="shared" ca="1" si="25"/>
        <v>46008</v>
      </c>
      <c r="C423" t="str" cm="1">
        <f t="array" aca="1" ref="C423" ca="1">INDEX(Products!$A$2:$A$9,RANDBETWEEN(1,8))</f>
        <v>Scarf</v>
      </c>
      <c r="D423" t="str">
        <f ca="1">_xlfn.XLOOKUP(C423,Products!A:A,Products!B:B)</f>
        <v>Accessories</v>
      </c>
      <c r="E423" t="str" cm="1">
        <f t="array" aca="1" ref="E423" ca="1">INDEX(Regions!$A$2:$A$7,RANDBETWEEN(1,6))</f>
        <v>Galway</v>
      </c>
      <c r="F423">
        <f t="shared" ca="1" si="26"/>
        <v>4</v>
      </c>
      <c r="G423">
        <f ca="1">VLOOKUP(C423,Products!$A$2:$C$9,3,FALSE)</f>
        <v>20</v>
      </c>
      <c r="H423">
        <f t="shared" ca="1" si="27"/>
        <v>80</v>
      </c>
    </row>
    <row r="424" spans="1:8" x14ac:dyDescent="0.35">
      <c r="A424">
        <f t="shared" si="24"/>
        <v>1423</v>
      </c>
      <c r="B424" s="2">
        <f t="shared" ca="1" si="25"/>
        <v>45610</v>
      </c>
      <c r="C424" t="str" cm="1">
        <f t="array" aca="1" ref="C424" ca="1">INDEX(Products!$A$2:$A$9,RANDBETWEEN(1,8))</f>
        <v>Third Jersey</v>
      </c>
      <c r="D424" t="str">
        <f ca="1">_xlfn.XLOOKUP(C424,Products!A:A,Products!B:B)</f>
        <v>Jerseys</v>
      </c>
      <c r="E424" t="str" cm="1">
        <f t="array" aca="1" ref="E424" ca="1">INDEX(Regions!$A$2:$A$7,RANDBETWEEN(1,6))</f>
        <v>Galway</v>
      </c>
      <c r="F424">
        <f t="shared" ca="1" si="26"/>
        <v>4</v>
      </c>
      <c r="G424">
        <f ca="1">VLOOKUP(C424,Products!$A$2:$C$9,3,FALSE)</f>
        <v>85</v>
      </c>
      <c r="H424">
        <f t="shared" ca="1" si="27"/>
        <v>340</v>
      </c>
    </row>
    <row r="425" spans="1:8" x14ac:dyDescent="0.35">
      <c r="A425">
        <f t="shared" si="24"/>
        <v>1424</v>
      </c>
      <c r="B425" s="2">
        <f t="shared" ca="1" si="25"/>
        <v>45804</v>
      </c>
      <c r="C425" t="str" cm="1">
        <f t="array" aca="1" ref="C425" ca="1">INDEX(Products!$A$2:$A$9,RANDBETWEEN(1,8))</f>
        <v>Football</v>
      </c>
      <c r="D425" t="str">
        <f ca="1">_xlfn.XLOOKUP(C425,Products!A:A,Products!B:B)</f>
        <v>Equipment</v>
      </c>
      <c r="E425" t="str" cm="1">
        <f t="array" aca="1" ref="E425" ca="1">INDEX(Regions!$A$2:$A$7,RANDBETWEEN(1,6))</f>
        <v>Cork</v>
      </c>
      <c r="F425">
        <f t="shared" ca="1" si="26"/>
        <v>3</v>
      </c>
      <c r="G425">
        <f ca="1">VLOOKUP(C425,Products!$A$2:$C$9,3,FALSE)</f>
        <v>30</v>
      </c>
      <c r="H425">
        <f t="shared" ca="1" si="27"/>
        <v>90</v>
      </c>
    </row>
    <row r="426" spans="1:8" x14ac:dyDescent="0.35">
      <c r="A426">
        <f t="shared" si="24"/>
        <v>1425</v>
      </c>
      <c r="B426" s="2">
        <f t="shared" ca="1" si="25"/>
        <v>45707</v>
      </c>
      <c r="C426" t="str" cm="1">
        <f t="array" aca="1" ref="C426" ca="1">INDEX(Products!$A$2:$A$9,RANDBETWEEN(1,8))</f>
        <v>Scarf</v>
      </c>
      <c r="D426" t="str">
        <f ca="1">_xlfn.XLOOKUP(C426,Products!A:A,Products!B:B)</f>
        <v>Accessories</v>
      </c>
      <c r="E426" t="str" cm="1">
        <f t="array" aca="1" ref="E426" ca="1">INDEX(Regions!$A$2:$A$7,RANDBETWEEN(1,6))</f>
        <v>Belfast</v>
      </c>
      <c r="F426">
        <f t="shared" ca="1" si="26"/>
        <v>5</v>
      </c>
      <c r="G426">
        <f ca="1">VLOOKUP(C426,Products!$A$2:$C$9,3,FALSE)</f>
        <v>20</v>
      </c>
      <c r="H426">
        <f t="shared" ca="1" si="27"/>
        <v>100</v>
      </c>
    </row>
    <row r="427" spans="1:8" x14ac:dyDescent="0.35">
      <c r="A427">
        <f t="shared" si="24"/>
        <v>1426</v>
      </c>
      <c r="B427" s="2">
        <f t="shared" ca="1" si="25"/>
        <v>45563</v>
      </c>
      <c r="C427" t="str" cm="1">
        <f t="array" aca="1" ref="C427" ca="1">INDEX(Products!$A$2:$A$9,RANDBETWEEN(1,8))</f>
        <v>Third Jersey</v>
      </c>
      <c r="D427" t="str">
        <f ca="1">_xlfn.XLOOKUP(C427,Products!A:A,Products!B:B)</f>
        <v>Jerseys</v>
      </c>
      <c r="E427" t="str" cm="1">
        <f t="array" aca="1" ref="E427" ca="1">INDEX(Regions!$A$2:$A$7,RANDBETWEEN(1,6))</f>
        <v>Galway</v>
      </c>
      <c r="F427">
        <f t="shared" ca="1" si="26"/>
        <v>2</v>
      </c>
      <c r="G427">
        <f ca="1">VLOOKUP(C427,Products!$A$2:$C$9,3,FALSE)</f>
        <v>85</v>
      </c>
      <c r="H427">
        <f t="shared" ca="1" si="27"/>
        <v>170</v>
      </c>
    </row>
    <row r="428" spans="1:8" x14ac:dyDescent="0.35">
      <c r="A428">
        <f t="shared" si="24"/>
        <v>1427</v>
      </c>
      <c r="B428" s="2">
        <f t="shared" ca="1" si="25"/>
        <v>45308</v>
      </c>
      <c r="C428" t="str" cm="1">
        <f t="array" aca="1" ref="C428" ca="1">INDEX(Products!$A$2:$A$9,RANDBETWEEN(1,8))</f>
        <v>Training Top</v>
      </c>
      <c r="D428" t="str">
        <f ca="1">_xlfn.XLOOKUP(C428,Products!A:A,Products!B:B)</f>
        <v>Training Wear</v>
      </c>
      <c r="E428" t="str" cm="1">
        <f t="array" aca="1" ref="E428" ca="1">INDEX(Regions!$A$2:$A$7,RANDBETWEEN(1,6))</f>
        <v>Belfast</v>
      </c>
      <c r="F428">
        <f t="shared" ca="1" si="26"/>
        <v>3</v>
      </c>
      <c r="G428">
        <f ca="1">VLOOKUP(C428,Products!$A$2:$C$9,3,FALSE)</f>
        <v>55</v>
      </c>
      <c r="H428">
        <f t="shared" ca="1" si="27"/>
        <v>165</v>
      </c>
    </row>
    <row r="429" spans="1:8" x14ac:dyDescent="0.35">
      <c r="A429">
        <f t="shared" si="24"/>
        <v>1428</v>
      </c>
      <c r="B429" s="2">
        <f t="shared" ca="1" si="25"/>
        <v>45875</v>
      </c>
      <c r="C429" t="str" cm="1">
        <f t="array" aca="1" ref="C429" ca="1">INDEX(Products!$A$2:$A$9,RANDBETWEEN(1,8))</f>
        <v>Scarf</v>
      </c>
      <c r="D429" t="str">
        <f ca="1">_xlfn.XLOOKUP(C429,Products!A:A,Products!B:B)</f>
        <v>Accessories</v>
      </c>
      <c r="E429" t="str" cm="1">
        <f t="array" aca="1" ref="E429" ca="1">INDEX(Regions!$A$2:$A$7,RANDBETWEEN(1,6))</f>
        <v>Cork</v>
      </c>
      <c r="F429">
        <f t="shared" ca="1" si="26"/>
        <v>5</v>
      </c>
      <c r="G429">
        <f ca="1">VLOOKUP(C429,Products!$A$2:$C$9,3,FALSE)</f>
        <v>20</v>
      </c>
      <c r="H429">
        <f t="shared" ca="1" si="27"/>
        <v>100</v>
      </c>
    </row>
    <row r="430" spans="1:8" x14ac:dyDescent="0.35">
      <c r="A430">
        <f t="shared" si="24"/>
        <v>1429</v>
      </c>
      <c r="B430" s="2">
        <f t="shared" ca="1" si="25"/>
        <v>45986</v>
      </c>
      <c r="C430" t="str" cm="1">
        <f t="array" aca="1" ref="C430" ca="1">INDEX(Products!$A$2:$A$9,RANDBETWEEN(1,8))</f>
        <v>Home Jersey</v>
      </c>
      <c r="D430" t="str">
        <f ca="1">_xlfn.XLOOKUP(C430,Products!A:A,Products!B:B)</f>
        <v>Jerseys</v>
      </c>
      <c r="E430" t="str" cm="1">
        <f t="array" aca="1" ref="E430" ca="1">INDEX(Regions!$A$2:$A$7,RANDBETWEEN(1,6))</f>
        <v>Dublin</v>
      </c>
      <c r="F430">
        <f t="shared" ca="1" si="26"/>
        <v>2</v>
      </c>
      <c r="G430">
        <f ca="1">VLOOKUP(C430,Products!$A$2:$C$9,3,FALSE)</f>
        <v>80</v>
      </c>
      <c r="H430">
        <f t="shared" ca="1" si="27"/>
        <v>160</v>
      </c>
    </row>
    <row r="431" spans="1:8" x14ac:dyDescent="0.35">
      <c r="A431">
        <f t="shared" si="24"/>
        <v>1430</v>
      </c>
      <c r="B431" s="2">
        <f t="shared" ca="1" si="25"/>
        <v>45385</v>
      </c>
      <c r="C431" t="str" cm="1">
        <f t="array" aca="1" ref="C431" ca="1">INDEX(Products!$A$2:$A$9,RANDBETWEEN(1,8))</f>
        <v>Away Jersey</v>
      </c>
      <c r="D431" t="str">
        <f ca="1">_xlfn.XLOOKUP(C431,Products!A:A,Products!B:B)</f>
        <v>Jerseys</v>
      </c>
      <c r="E431" t="str" cm="1">
        <f t="array" aca="1" ref="E431" ca="1">INDEX(Regions!$A$2:$A$7,RANDBETWEEN(1,6))</f>
        <v>Cork</v>
      </c>
      <c r="F431">
        <f t="shared" ca="1" si="26"/>
        <v>2</v>
      </c>
      <c r="G431">
        <f ca="1">VLOOKUP(C431,Products!$A$2:$C$9,3,FALSE)</f>
        <v>80</v>
      </c>
      <c r="H431">
        <f t="shared" ca="1" si="27"/>
        <v>160</v>
      </c>
    </row>
    <row r="432" spans="1:8" x14ac:dyDescent="0.35">
      <c r="A432">
        <f t="shared" si="24"/>
        <v>1431</v>
      </c>
      <c r="B432" s="2">
        <f t="shared" ca="1" si="25"/>
        <v>45459</v>
      </c>
      <c r="C432" t="str" cm="1">
        <f t="array" aca="1" ref="C432" ca="1">INDEX(Products!$A$2:$A$9,RANDBETWEEN(1,8))</f>
        <v>Third Jersey</v>
      </c>
      <c r="D432" t="str">
        <f ca="1">_xlfn.XLOOKUP(C432,Products!A:A,Products!B:B)</f>
        <v>Jerseys</v>
      </c>
      <c r="E432" t="str" cm="1">
        <f t="array" aca="1" ref="E432" ca="1">INDEX(Regions!$A$2:$A$7,RANDBETWEEN(1,6))</f>
        <v>Waterford</v>
      </c>
      <c r="F432">
        <f t="shared" ca="1" si="26"/>
        <v>1</v>
      </c>
      <c r="G432">
        <f ca="1">VLOOKUP(C432,Products!$A$2:$C$9,3,FALSE)</f>
        <v>85</v>
      </c>
      <c r="H432">
        <f t="shared" ca="1" si="27"/>
        <v>85</v>
      </c>
    </row>
    <row r="433" spans="1:8" x14ac:dyDescent="0.35">
      <c r="A433">
        <f t="shared" si="24"/>
        <v>1432</v>
      </c>
      <c r="B433" s="2">
        <f t="shared" ca="1" si="25"/>
        <v>45376</v>
      </c>
      <c r="C433" t="str" cm="1">
        <f t="array" aca="1" ref="C433" ca="1">INDEX(Products!$A$2:$A$9,RANDBETWEEN(1,8))</f>
        <v>Away Jersey</v>
      </c>
      <c r="D433" t="str">
        <f ca="1">_xlfn.XLOOKUP(C433,Products!A:A,Products!B:B)</f>
        <v>Jerseys</v>
      </c>
      <c r="E433" t="str" cm="1">
        <f t="array" aca="1" ref="E433" ca="1">INDEX(Regions!$A$2:$A$7,RANDBETWEEN(1,6))</f>
        <v>Belfast</v>
      </c>
      <c r="F433">
        <f t="shared" ca="1" si="26"/>
        <v>4</v>
      </c>
      <c r="G433">
        <f ca="1">VLOOKUP(C433,Products!$A$2:$C$9,3,FALSE)</f>
        <v>80</v>
      </c>
      <c r="H433">
        <f t="shared" ca="1" si="27"/>
        <v>320</v>
      </c>
    </row>
    <row r="434" spans="1:8" x14ac:dyDescent="0.35">
      <c r="A434">
        <f t="shared" si="24"/>
        <v>1433</v>
      </c>
      <c r="B434" s="2">
        <f t="shared" ca="1" si="25"/>
        <v>45316</v>
      </c>
      <c r="C434" t="str" cm="1">
        <f t="array" aca="1" ref="C434" ca="1">INDEX(Products!$A$2:$A$9,RANDBETWEEN(1,8))</f>
        <v>Scarf</v>
      </c>
      <c r="D434" t="str">
        <f ca="1">_xlfn.XLOOKUP(C434,Products!A:A,Products!B:B)</f>
        <v>Accessories</v>
      </c>
      <c r="E434" t="str" cm="1">
        <f t="array" aca="1" ref="E434" ca="1">INDEX(Regions!$A$2:$A$7,RANDBETWEEN(1,6))</f>
        <v>Cork</v>
      </c>
      <c r="F434">
        <f t="shared" ca="1" si="26"/>
        <v>4</v>
      </c>
      <c r="G434">
        <f ca="1">VLOOKUP(C434,Products!$A$2:$C$9,3,FALSE)</f>
        <v>20</v>
      </c>
      <c r="H434">
        <f t="shared" ca="1" si="27"/>
        <v>80</v>
      </c>
    </row>
    <row r="435" spans="1:8" x14ac:dyDescent="0.35">
      <c r="A435">
        <f t="shared" si="24"/>
        <v>1434</v>
      </c>
      <c r="B435" s="2">
        <f t="shared" ca="1" si="25"/>
        <v>45586</v>
      </c>
      <c r="C435" t="str" cm="1">
        <f t="array" aca="1" ref="C435" ca="1">INDEX(Products!$A$2:$A$9,RANDBETWEEN(1,8))</f>
        <v>Scarf</v>
      </c>
      <c r="D435" t="str">
        <f ca="1">_xlfn.XLOOKUP(C435,Products!A:A,Products!B:B)</f>
        <v>Accessories</v>
      </c>
      <c r="E435" t="str" cm="1">
        <f t="array" aca="1" ref="E435" ca="1">INDEX(Regions!$A$2:$A$7,RANDBETWEEN(1,6))</f>
        <v>Dublin</v>
      </c>
      <c r="F435">
        <f t="shared" ca="1" si="26"/>
        <v>1</v>
      </c>
      <c r="G435">
        <f ca="1">VLOOKUP(C435,Products!$A$2:$C$9,3,FALSE)</f>
        <v>20</v>
      </c>
      <c r="H435">
        <f t="shared" ca="1" si="27"/>
        <v>20</v>
      </c>
    </row>
    <row r="436" spans="1:8" x14ac:dyDescent="0.35">
      <c r="A436">
        <f t="shared" si="24"/>
        <v>1435</v>
      </c>
      <c r="B436" s="2">
        <f t="shared" ca="1" si="25"/>
        <v>45790</v>
      </c>
      <c r="C436" t="str" cm="1">
        <f t="array" aca="1" ref="C436" ca="1">INDEX(Products!$A$2:$A$9,RANDBETWEEN(1,8))</f>
        <v>Scarf</v>
      </c>
      <c r="D436" t="str">
        <f ca="1">_xlfn.XLOOKUP(C436,Products!A:A,Products!B:B)</f>
        <v>Accessories</v>
      </c>
      <c r="E436" t="str" cm="1">
        <f t="array" aca="1" ref="E436" ca="1">INDEX(Regions!$A$2:$A$7,RANDBETWEEN(1,6))</f>
        <v>Belfast</v>
      </c>
      <c r="F436">
        <f t="shared" ca="1" si="26"/>
        <v>3</v>
      </c>
      <c r="G436">
        <f ca="1">VLOOKUP(C436,Products!$A$2:$C$9,3,FALSE)</f>
        <v>20</v>
      </c>
      <c r="H436">
        <f t="shared" ca="1" si="27"/>
        <v>60</v>
      </c>
    </row>
    <row r="437" spans="1:8" x14ac:dyDescent="0.35">
      <c r="A437">
        <f t="shared" si="24"/>
        <v>1436</v>
      </c>
      <c r="B437" s="2">
        <f t="shared" ca="1" si="25"/>
        <v>45575</v>
      </c>
      <c r="C437" t="str" cm="1">
        <f t="array" aca="1" ref="C437" ca="1">INDEX(Products!$A$2:$A$9,RANDBETWEEN(1,8))</f>
        <v>Away Jersey</v>
      </c>
      <c r="D437" t="str">
        <f ca="1">_xlfn.XLOOKUP(C437,Products!A:A,Products!B:B)</f>
        <v>Jerseys</v>
      </c>
      <c r="E437" t="str" cm="1">
        <f t="array" aca="1" ref="E437" ca="1">INDEX(Regions!$A$2:$A$7,RANDBETWEEN(1,6))</f>
        <v>Waterford</v>
      </c>
      <c r="F437">
        <f t="shared" ca="1" si="26"/>
        <v>2</v>
      </c>
      <c r="G437">
        <f ca="1">VLOOKUP(C437,Products!$A$2:$C$9,3,FALSE)</f>
        <v>80</v>
      </c>
      <c r="H437">
        <f t="shared" ca="1" si="27"/>
        <v>160</v>
      </c>
    </row>
    <row r="438" spans="1:8" x14ac:dyDescent="0.35">
      <c r="A438">
        <f t="shared" si="24"/>
        <v>1437</v>
      </c>
      <c r="B438" s="2">
        <f t="shared" ca="1" si="25"/>
        <v>45812</v>
      </c>
      <c r="C438" t="str" cm="1">
        <f t="array" aca="1" ref="C438" ca="1">INDEX(Products!$A$2:$A$9,RANDBETWEEN(1,8))</f>
        <v>Third Jersey</v>
      </c>
      <c r="D438" t="str">
        <f ca="1">_xlfn.XLOOKUP(C438,Products!A:A,Products!B:B)</f>
        <v>Jerseys</v>
      </c>
      <c r="E438" t="str" cm="1">
        <f t="array" aca="1" ref="E438" ca="1">INDEX(Regions!$A$2:$A$7,RANDBETWEEN(1,6))</f>
        <v>Belfast</v>
      </c>
      <c r="F438">
        <f t="shared" ca="1" si="26"/>
        <v>1</v>
      </c>
      <c r="G438">
        <f ca="1">VLOOKUP(C438,Products!$A$2:$C$9,3,FALSE)</f>
        <v>85</v>
      </c>
      <c r="H438">
        <f t="shared" ca="1" si="27"/>
        <v>85</v>
      </c>
    </row>
    <row r="439" spans="1:8" x14ac:dyDescent="0.35">
      <c r="A439">
        <f t="shared" si="24"/>
        <v>1438</v>
      </c>
      <c r="B439" s="2">
        <f t="shared" ca="1" si="25"/>
        <v>45451</v>
      </c>
      <c r="C439" t="str" cm="1">
        <f t="array" aca="1" ref="C439" ca="1">INDEX(Products!$A$2:$A$9,RANDBETWEEN(1,8))</f>
        <v>Training Top</v>
      </c>
      <c r="D439" t="str">
        <f ca="1">_xlfn.XLOOKUP(C439,Products!A:A,Products!B:B)</f>
        <v>Training Wear</v>
      </c>
      <c r="E439" t="str" cm="1">
        <f t="array" aca="1" ref="E439" ca="1">INDEX(Regions!$A$2:$A$7,RANDBETWEEN(1,6))</f>
        <v>Dublin</v>
      </c>
      <c r="F439">
        <f t="shared" ca="1" si="26"/>
        <v>5</v>
      </c>
      <c r="G439">
        <f ca="1">VLOOKUP(C439,Products!$A$2:$C$9,3,FALSE)</f>
        <v>55</v>
      </c>
      <c r="H439">
        <f t="shared" ca="1" si="27"/>
        <v>275</v>
      </c>
    </row>
    <row r="440" spans="1:8" x14ac:dyDescent="0.35">
      <c r="A440">
        <f t="shared" si="24"/>
        <v>1439</v>
      </c>
      <c r="B440" s="2">
        <f t="shared" ca="1" si="25"/>
        <v>45861</v>
      </c>
      <c r="C440" t="str" cm="1">
        <f t="array" aca="1" ref="C440" ca="1">INDEX(Products!$A$2:$A$9,RANDBETWEEN(1,8))</f>
        <v>Away Jersey</v>
      </c>
      <c r="D440" t="str">
        <f ca="1">_xlfn.XLOOKUP(C440,Products!A:A,Products!B:B)</f>
        <v>Jerseys</v>
      </c>
      <c r="E440" t="str" cm="1">
        <f t="array" aca="1" ref="E440" ca="1">INDEX(Regions!$A$2:$A$7,RANDBETWEEN(1,6))</f>
        <v>Belfast</v>
      </c>
      <c r="F440">
        <f t="shared" ca="1" si="26"/>
        <v>3</v>
      </c>
      <c r="G440">
        <f ca="1">VLOOKUP(C440,Products!$A$2:$C$9,3,FALSE)</f>
        <v>80</v>
      </c>
      <c r="H440">
        <f t="shared" ca="1" si="27"/>
        <v>240</v>
      </c>
    </row>
    <row r="441" spans="1:8" x14ac:dyDescent="0.35">
      <c r="A441">
        <f t="shared" si="24"/>
        <v>1440</v>
      </c>
      <c r="B441" s="2">
        <f t="shared" ca="1" si="25"/>
        <v>45694</v>
      </c>
      <c r="C441" t="str" cm="1">
        <f t="array" aca="1" ref="C441" ca="1">INDEX(Products!$A$2:$A$9,RANDBETWEEN(1,8))</f>
        <v>Third Jersey</v>
      </c>
      <c r="D441" t="str">
        <f ca="1">_xlfn.XLOOKUP(C441,Products!A:A,Products!B:B)</f>
        <v>Jerseys</v>
      </c>
      <c r="E441" t="str" cm="1">
        <f t="array" aca="1" ref="E441" ca="1">INDEX(Regions!$A$2:$A$7,RANDBETWEEN(1,6))</f>
        <v>Limerick</v>
      </c>
      <c r="F441">
        <f t="shared" ca="1" si="26"/>
        <v>4</v>
      </c>
      <c r="G441">
        <f ca="1">VLOOKUP(C441,Products!$A$2:$C$9,3,FALSE)</f>
        <v>85</v>
      </c>
      <c r="H441">
        <f t="shared" ca="1" si="27"/>
        <v>340</v>
      </c>
    </row>
    <row r="442" spans="1:8" x14ac:dyDescent="0.35">
      <c r="A442">
        <f t="shared" si="24"/>
        <v>1441</v>
      </c>
      <c r="B442" s="2">
        <f t="shared" ca="1" si="25"/>
        <v>45443</v>
      </c>
      <c r="C442" t="str" cm="1">
        <f t="array" aca="1" ref="C442" ca="1">INDEX(Products!$A$2:$A$9,RANDBETWEEN(1,8))</f>
        <v>Away Jersey</v>
      </c>
      <c r="D442" t="str">
        <f ca="1">_xlfn.XLOOKUP(C442,Products!A:A,Products!B:B)</f>
        <v>Jerseys</v>
      </c>
      <c r="E442" t="str" cm="1">
        <f t="array" aca="1" ref="E442" ca="1">INDEX(Regions!$A$2:$A$7,RANDBETWEEN(1,6))</f>
        <v>Belfast</v>
      </c>
      <c r="F442">
        <f t="shared" ca="1" si="26"/>
        <v>1</v>
      </c>
      <c r="G442">
        <f ca="1">VLOOKUP(C442,Products!$A$2:$C$9,3,FALSE)</f>
        <v>80</v>
      </c>
      <c r="H442">
        <f t="shared" ca="1" si="27"/>
        <v>80</v>
      </c>
    </row>
    <row r="443" spans="1:8" x14ac:dyDescent="0.35">
      <c r="A443">
        <f t="shared" si="24"/>
        <v>1442</v>
      </c>
      <c r="B443" s="2">
        <f t="shared" ca="1" si="25"/>
        <v>45469</v>
      </c>
      <c r="C443" t="str" cm="1">
        <f t="array" aca="1" ref="C443" ca="1">INDEX(Products!$A$2:$A$9,RANDBETWEEN(1,8))</f>
        <v>Third Jersey</v>
      </c>
      <c r="D443" t="str">
        <f ca="1">_xlfn.XLOOKUP(C443,Products!A:A,Products!B:B)</f>
        <v>Jerseys</v>
      </c>
      <c r="E443" t="str" cm="1">
        <f t="array" aca="1" ref="E443" ca="1">INDEX(Regions!$A$2:$A$7,RANDBETWEEN(1,6))</f>
        <v>Waterford</v>
      </c>
      <c r="F443">
        <f t="shared" ca="1" si="26"/>
        <v>1</v>
      </c>
      <c r="G443">
        <f ca="1">VLOOKUP(C443,Products!$A$2:$C$9,3,FALSE)</f>
        <v>85</v>
      </c>
      <c r="H443">
        <f t="shared" ca="1" si="27"/>
        <v>85</v>
      </c>
    </row>
    <row r="444" spans="1:8" x14ac:dyDescent="0.35">
      <c r="A444">
        <f t="shared" si="24"/>
        <v>1443</v>
      </c>
      <c r="B444" s="2">
        <f t="shared" ca="1" si="25"/>
        <v>45759</v>
      </c>
      <c r="C444" t="str" cm="1">
        <f t="array" aca="1" ref="C444" ca="1">INDEX(Products!$A$2:$A$9,RANDBETWEEN(1,8))</f>
        <v>Third Jersey</v>
      </c>
      <c r="D444" t="str">
        <f ca="1">_xlfn.XLOOKUP(C444,Products!A:A,Products!B:B)</f>
        <v>Jerseys</v>
      </c>
      <c r="E444" t="str" cm="1">
        <f t="array" aca="1" ref="E444" ca="1">INDEX(Regions!$A$2:$A$7,RANDBETWEEN(1,6))</f>
        <v>Cork</v>
      </c>
      <c r="F444">
        <f t="shared" ca="1" si="26"/>
        <v>2</v>
      </c>
      <c r="G444">
        <f ca="1">VLOOKUP(C444,Products!$A$2:$C$9,3,FALSE)</f>
        <v>85</v>
      </c>
      <c r="H444">
        <f t="shared" ca="1" si="27"/>
        <v>170</v>
      </c>
    </row>
    <row r="445" spans="1:8" x14ac:dyDescent="0.35">
      <c r="A445">
        <f t="shared" si="24"/>
        <v>1444</v>
      </c>
      <c r="B445" s="2">
        <f t="shared" ca="1" si="25"/>
        <v>45678</v>
      </c>
      <c r="C445" t="str" cm="1">
        <f t="array" aca="1" ref="C445" ca="1">INDEX(Products!$A$2:$A$9,RANDBETWEEN(1,8))</f>
        <v>Training Top</v>
      </c>
      <c r="D445" t="str">
        <f ca="1">_xlfn.XLOOKUP(C445,Products!A:A,Products!B:B)</f>
        <v>Training Wear</v>
      </c>
      <c r="E445" t="str" cm="1">
        <f t="array" aca="1" ref="E445" ca="1">INDEX(Regions!$A$2:$A$7,RANDBETWEEN(1,6))</f>
        <v>Cork</v>
      </c>
      <c r="F445">
        <f t="shared" ca="1" si="26"/>
        <v>4</v>
      </c>
      <c r="G445">
        <f ca="1">VLOOKUP(C445,Products!$A$2:$C$9,3,FALSE)</f>
        <v>55</v>
      </c>
      <c r="H445">
        <f t="shared" ca="1" si="27"/>
        <v>220</v>
      </c>
    </row>
    <row r="446" spans="1:8" x14ac:dyDescent="0.35">
      <c r="A446">
        <f t="shared" si="24"/>
        <v>1445</v>
      </c>
      <c r="B446" s="2">
        <f t="shared" ca="1" si="25"/>
        <v>45775</v>
      </c>
      <c r="C446" t="str" cm="1">
        <f t="array" aca="1" ref="C446" ca="1">INDEX(Products!$A$2:$A$9,RANDBETWEEN(1,8))</f>
        <v>Home Jersey</v>
      </c>
      <c r="D446" t="str">
        <f ca="1">_xlfn.XLOOKUP(C446,Products!A:A,Products!B:B)</f>
        <v>Jerseys</v>
      </c>
      <c r="E446" t="str" cm="1">
        <f t="array" aca="1" ref="E446" ca="1">INDEX(Regions!$A$2:$A$7,RANDBETWEEN(1,6))</f>
        <v>Limerick</v>
      </c>
      <c r="F446">
        <f t="shared" ca="1" si="26"/>
        <v>1</v>
      </c>
      <c r="G446">
        <f ca="1">VLOOKUP(C446,Products!$A$2:$C$9,3,FALSE)</f>
        <v>80</v>
      </c>
      <c r="H446">
        <f t="shared" ca="1" si="27"/>
        <v>80</v>
      </c>
    </row>
    <row r="447" spans="1:8" x14ac:dyDescent="0.35">
      <c r="A447">
        <f t="shared" si="24"/>
        <v>1446</v>
      </c>
      <c r="B447" s="2">
        <f t="shared" ca="1" si="25"/>
        <v>45441</v>
      </c>
      <c r="C447" t="str" cm="1">
        <f t="array" aca="1" ref="C447" ca="1">INDEX(Products!$A$2:$A$9,RANDBETWEEN(1,8))</f>
        <v>Scarf</v>
      </c>
      <c r="D447" t="str">
        <f ca="1">_xlfn.XLOOKUP(C447,Products!A:A,Products!B:B)</f>
        <v>Accessories</v>
      </c>
      <c r="E447" t="str" cm="1">
        <f t="array" aca="1" ref="E447" ca="1">INDEX(Regions!$A$2:$A$7,RANDBETWEEN(1,6))</f>
        <v>Galway</v>
      </c>
      <c r="F447">
        <f t="shared" ca="1" si="26"/>
        <v>1</v>
      </c>
      <c r="G447">
        <f ca="1">VLOOKUP(C447,Products!$A$2:$C$9,3,FALSE)</f>
        <v>20</v>
      </c>
      <c r="H447">
        <f t="shared" ca="1" si="27"/>
        <v>20</v>
      </c>
    </row>
    <row r="448" spans="1:8" x14ac:dyDescent="0.35">
      <c r="A448">
        <f t="shared" si="24"/>
        <v>1447</v>
      </c>
      <c r="B448" s="2">
        <f t="shared" ca="1" si="25"/>
        <v>45782</v>
      </c>
      <c r="C448" t="str" cm="1">
        <f t="array" aca="1" ref="C448" ca="1">INDEX(Products!$A$2:$A$9,RANDBETWEEN(1,8))</f>
        <v>Training Top</v>
      </c>
      <c r="D448" t="str">
        <f ca="1">_xlfn.XLOOKUP(C448,Products!A:A,Products!B:B)</f>
        <v>Training Wear</v>
      </c>
      <c r="E448" t="str" cm="1">
        <f t="array" aca="1" ref="E448" ca="1">INDEX(Regions!$A$2:$A$7,RANDBETWEEN(1,6))</f>
        <v>Waterford</v>
      </c>
      <c r="F448">
        <f t="shared" ca="1" si="26"/>
        <v>3</v>
      </c>
      <c r="G448">
        <f ca="1">VLOOKUP(C448,Products!$A$2:$C$9,3,FALSE)</f>
        <v>55</v>
      </c>
      <c r="H448">
        <f t="shared" ca="1" si="27"/>
        <v>165</v>
      </c>
    </row>
    <row r="449" spans="1:8" x14ac:dyDescent="0.35">
      <c r="A449">
        <f t="shared" si="24"/>
        <v>1448</v>
      </c>
      <c r="B449" s="2">
        <f t="shared" ca="1" si="25"/>
        <v>45864</v>
      </c>
      <c r="C449" t="str" cm="1">
        <f t="array" aca="1" ref="C449" ca="1">INDEX(Products!$A$2:$A$9,RANDBETWEEN(1,8))</f>
        <v>Away Jersey</v>
      </c>
      <c r="D449" t="str">
        <f ca="1">_xlfn.XLOOKUP(C449,Products!A:A,Products!B:B)</f>
        <v>Jerseys</v>
      </c>
      <c r="E449" t="str" cm="1">
        <f t="array" aca="1" ref="E449" ca="1">INDEX(Regions!$A$2:$A$7,RANDBETWEEN(1,6))</f>
        <v>Waterford</v>
      </c>
      <c r="F449">
        <f t="shared" ca="1" si="26"/>
        <v>2</v>
      </c>
      <c r="G449">
        <f ca="1">VLOOKUP(C449,Products!$A$2:$C$9,3,FALSE)</f>
        <v>80</v>
      </c>
      <c r="H449">
        <f t="shared" ca="1" si="27"/>
        <v>160</v>
      </c>
    </row>
    <row r="450" spans="1:8" x14ac:dyDescent="0.35">
      <c r="A450">
        <f t="shared" si="24"/>
        <v>1449</v>
      </c>
      <c r="B450" s="2">
        <f t="shared" ca="1" si="25"/>
        <v>45880</v>
      </c>
      <c r="C450" t="str" cm="1">
        <f t="array" aca="1" ref="C450" ca="1">INDEX(Products!$A$2:$A$9,RANDBETWEEN(1,8))</f>
        <v>Away Jersey</v>
      </c>
      <c r="D450" t="str">
        <f ca="1">_xlfn.XLOOKUP(C450,Products!A:A,Products!B:B)</f>
        <v>Jerseys</v>
      </c>
      <c r="E450" t="str" cm="1">
        <f t="array" aca="1" ref="E450" ca="1">INDEX(Regions!$A$2:$A$7,RANDBETWEEN(1,6))</f>
        <v>Dublin</v>
      </c>
      <c r="F450">
        <f t="shared" ca="1" si="26"/>
        <v>1</v>
      </c>
      <c r="G450">
        <f ca="1">VLOOKUP(C450,Products!$A$2:$C$9,3,FALSE)</f>
        <v>80</v>
      </c>
      <c r="H450">
        <f t="shared" ca="1" si="27"/>
        <v>80</v>
      </c>
    </row>
    <row r="451" spans="1:8" x14ac:dyDescent="0.35">
      <c r="A451">
        <f t="shared" ref="A451:A514" si="28">ROW()+999</f>
        <v>1450</v>
      </c>
      <c r="B451" s="2">
        <f t="shared" ref="B451:B514" ca="1" si="29">DATE(2024,1,1)+RANDBETWEEN(0,730)</f>
        <v>45399</v>
      </c>
      <c r="C451" t="str" cm="1">
        <f t="array" aca="1" ref="C451" ca="1">INDEX(Products!$A$2:$A$9,RANDBETWEEN(1,8))</f>
        <v>Away Jersey</v>
      </c>
      <c r="D451" t="str">
        <f ca="1">_xlfn.XLOOKUP(C451,Products!A:A,Products!B:B)</f>
        <v>Jerseys</v>
      </c>
      <c r="E451" t="str" cm="1">
        <f t="array" aca="1" ref="E451" ca="1">INDEX(Regions!$A$2:$A$7,RANDBETWEEN(1,6))</f>
        <v>Limerick</v>
      </c>
      <c r="F451">
        <f t="shared" ref="F451:F514" ca="1" si="30">RANDBETWEEN(1,5)</f>
        <v>2</v>
      </c>
      <c r="G451">
        <f ca="1">VLOOKUP(C451,Products!$A$2:$C$9,3,FALSE)</f>
        <v>80</v>
      </c>
      <c r="H451">
        <f t="shared" ref="H451:H514" ca="1" si="31">F451*G451</f>
        <v>160</v>
      </c>
    </row>
    <row r="452" spans="1:8" x14ac:dyDescent="0.35">
      <c r="A452">
        <f t="shared" si="28"/>
        <v>1451</v>
      </c>
      <c r="B452" s="2">
        <f t="shared" ca="1" si="29"/>
        <v>45389</v>
      </c>
      <c r="C452" t="str" cm="1">
        <f t="array" aca="1" ref="C452" ca="1">INDEX(Products!$A$2:$A$9,RANDBETWEEN(1,8))</f>
        <v>Jacket</v>
      </c>
      <c r="D452" t="str">
        <f ca="1">_xlfn.XLOOKUP(C452,Products!A:A,Products!B:B)</f>
        <v>Training Wear</v>
      </c>
      <c r="E452" t="str" cm="1">
        <f t="array" aca="1" ref="E452" ca="1">INDEX(Regions!$A$2:$A$7,RANDBETWEEN(1,6))</f>
        <v>Waterford</v>
      </c>
      <c r="F452">
        <f t="shared" ca="1" si="30"/>
        <v>1</v>
      </c>
      <c r="G452">
        <f ca="1">VLOOKUP(C452,Products!$A$2:$C$9,3,FALSE)</f>
        <v>90</v>
      </c>
      <c r="H452">
        <f t="shared" ca="1" si="31"/>
        <v>90</v>
      </c>
    </row>
    <row r="453" spans="1:8" x14ac:dyDescent="0.35">
      <c r="A453">
        <f t="shared" si="28"/>
        <v>1452</v>
      </c>
      <c r="B453" s="2">
        <f t="shared" ca="1" si="29"/>
        <v>45530</v>
      </c>
      <c r="C453" t="str" cm="1">
        <f t="array" aca="1" ref="C453" ca="1">INDEX(Products!$A$2:$A$9,RANDBETWEEN(1,8))</f>
        <v>Home Jersey</v>
      </c>
      <c r="D453" t="str">
        <f ca="1">_xlfn.XLOOKUP(C453,Products!A:A,Products!B:B)</f>
        <v>Jerseys</v>
      </c>
      <c r="E453" t="str" cm="1">
        <f t="array" aca="1" ref="E453" ca="1">INDEX(Regions!$A$2:$A$7,RANDBETWEEN(1,6))</f>
        <v>Galway</v>
      </c>
      <c r="F453">
        <f t="shared" ca="1" si="30"/>
        <v>2</v>
      </c>
      <c r="G453">
        <f ca="1">VLOOKUP(C453,Products!$A$2:$C$9,3,FALSE)</f>
        <v>80</v>
      </c>
      <c r="H453">
        <f t="shared" ca="1" si="31"/>
        <v>160</v>
      </c>
    </row>
    <row r="454" spans="1:8" x14ac:dyDescent="0.35">
      <c r="A454">
        <f t="shared" si="28"/>
        <v>1453</v>
      </c>
      <c r="B454" s="2">
        <f t="shared" ca="1" si="29"/>
        <v>45322</v>
      </c>
      <c r="C454" t="str" cm="1">
        <f t="array" aca="1" ref="C454" ca="1">INDEX(Products!$A$2:$A$9,RANDBETWEEN(1,8))</f>
        <v>Scarf</v>
      </c>
      <c r="D454" t="str">
        <f ca="1">_xlfn.XLOOKUP(C454,Products!A:A,Products!B:B)</f>
        <v>Accessories</v>
      </c>
      <c r="E454" t="str" cm="1">
        <f t="array" aca="1" ref="E454" ca="1">INDEX(Regions!$A$2:$A$7,RANDBETWEEN(1,6))</f>
        <v>Belfast</v>
      </c>
      <c r="F454">
        <f t="shared" ca="1" si="30"/>
        <v>3</v>
      </c>
      <c r="G454">
        <f ca="1">VLOOKUP(C454,Products!$A$2:$C$9,3,FALSE)</f>
        <v>20</v>
      </c>
      <c r="H454">
        <f t="shared" ca="1" si="31"/>
        <v>60</v>
      </c>
    </row>
    <row r="455" spans="1:8" x14ac:dyDescent="0.35">
      <c r="A455">
        <f t="shared" si="28"/>
        <v>1454</v>
      </c>
      <c r="B455" s="2">
        <f t="shared" ca="1" si="29"/>
        <v>45804</v>
      </c>
      <c r="C455" t="str" cm="1">
        <f t="array" aca="1" ref="C455" ca="1">INDEX(Products!$A$2:$A$9,RANDBETWEEN(1,8))</f>
        <v>Training Top</v>
      </c>
      <c r="D455" t="str">
        <f ca="1">_xlfn.XLOOKUP(C455,Products!A:A,Products!B:B)</f>
        <v>Training Wear</v>
      </c>
      <c r="E455" t="str" cm="1">
        <f t="array" aca="1" ref="E455" ca="1">INDEX(Regions!$A$2:$A$7,RANDBETWEEN(1,6))</f>
        <v>Waterford</v>
      </c>
      <c r="F455">
        <f t="shared" ca="1" si="30"/>
        <v>2</v>
      </c>
      <c r="G455">
        <f ca="1">VLOOKUP(C455,Products!$A$2:$C$9,3,FALSE)</f>
        <v>55</v>
      </c>
      <c r="H455">
        <f t="shared" ca="1" si="31"/>
        <v>110</v>
      </c>
    </row>
    <row r="456" spans="1:8" x14ac:dyDescent="0.35">
      <c r="A456">
        <f t="shared" si="28"/>
        <v>1455</v>
      </c>
      <c r="B456" s="2">
        <f t="shared" ca="1" si="29"/>
        <v>45604</v>
      </c>
      <c r="C456" t="str" cm="1">
        <f t="array" aca="1" ref="C456" ca="1">INDEX(Products!$A$2:$A$9,RANDBETWEEN(1,8))</f>
        <v>Football</v>
      </c>
      <c r="D456" t="str">
        <f ca="1">_xlfn.XLOOKUP(C456,Products!A:A,Products!B:B)</f>
        <v>Equipment</v>
      </c>
      <c r="E456" t="str" cm="1">
        <f t="array" aca="1" ref="E456" ca="1">INDEX(Regions!$A$2:$A$7,RANDBETWEEN(1,6))</f>
        <v>Dublin</v>
      </c>
      <c r="F456">
        <f t="shared" ca="1" si="30"/>
        <v>4</v>
      </c>
      <c r="G456">
        <f ca="1">VLOOKUP(C456,Products!$A$2:$C$9,3,FALSE)</f>
        <v>30</v>
      </c>
      <c r="H456">
        <f t="shared" ca="1" si="31"/>
        <v>120</v>
      </c>
    </row>
    <row r="457" spans="1:8" x14ac:dyDescent="0.35">
      <c r="A457">
        <f t="shared" si="28"/>
        <v>1456</v>
      </c>
      <c r="B457" s="2">
        <f t="shared" ca="1" si="29"/>
        <v>45823</v>
      </c>
      <c r="C457" t="str" cm="1">
        <f t="array" aca="1" ref="C457" ca="1">INDEX(Products!$A$2:$A$9,RANDBETWEEN(1,8))</f>
        <v>Training Top</v>
      </c>
      <c r="D457" t="str">
        <f ca="1">_xlfn.XLOOKUP(C457,Products!A:A,Products!B:B)</f>
        <v>Training Wear</v>
      </c>
      <c r="E457" t="str" cm="1">
        <f t="array" aca="1" ref="E457" ca="1">INDEX(Regions!$A$2:$A$7,RANDBETWEEN(1,6))</f>
        <v>Waterford</v>
      </c>
      <c r="F457">
        <f t="shared" ca="1" si="30"/>
        <v>2</v>
      </c>
      <c r="G457">
        <f ca="1">VLOOKUP(C457,Products!$A$2:$C$9,3,FALSE)</f>
        <v>55</v>
      </c>
      <c r="H457">
        <f t="shared" ca="1" si="31"/>
        <v>110</v>
      </c>
    </row>
    <row r="458" spans="1:8" x14ac:dyDescent="0.35">
      <c r="A458">
        <f t="shared" si="28"/>
        <v>1457</v>
      </c>
      <c r="B458" s="2">
        <f t="shared" ca="1" si="29"/>
        <v>45780</v>
      </c>
      <c r="C458" t="str" cm="1">
        <f t="array" aca="1" ref="C458" ca="1">INDEX(Products!$A$2:$A$9,RANDBETWEEN(1,8))</f>
        <v>Third Jersey</v>
      </c>
      <c r="D458" t="str">
        <f ca="1">_xlfn.XLOOKUP(C458,Products!A:A,Products!B:B)</f>
        <v>Jerseys</v>
      </c>
      <c r="E458" t="str" cm="1">
        <f t="array" aca="1" ref="E458" ca="1">INDEX(Regions!$A$2:$A$7,RANDBETWEEN(1,6))</f>
        <v>Dublin</v>
      </c>
      <c r="F458">
        <f t="shared" ca="1" si="30"/>
        <v>2</v>
      </c>
      <c r="G458">
        <f ca="1">VLOOKUP(C458,Products!$A$2:$C$9,3,FALSE)</f>
        <v>85</v>
      </c>
      <c r="H458">
        <f t="shared" ca="1" si="31"/>
        <v>170</v>
      </c>
    </row>
    <row r="459" spans="1:8" x14ac:dyDescent="0.35">
      <c r="A459">
        <f t="shared" si="28"/>
        <v>1458</v>
      </c>
      <c r="B459" s="2">
        <f t="shared" ca="1" si="29"/>
        <v>45318</v>
      </c>
      <c r="C459" t="str" cm="1">
        <f t="array" aca="1" ref="C459" ca="1">INDEX(Products!$A$2:$A$9,RANDBETWEEN(1,8))</f>
        <v>Jacket</v>
      </c>
      <c r="D459" t="str">
        <f ca="1">_xlfn.XLOOKUP(C459,Products!A:A,Products!B:B)</f>
        <v>Training Wear</v>
      </c>
      <c r="E459" t="str" cm="1">
        <f t="array" aca="1" ref="E459" ca="1">INDEX(Regions!$A$2:$A$7,RANDBETWEEN(1,6))</f>
        <v>Dublin</v>
      </c>
      <c r="F459">
        <f t="shared" ca="1" si="30"/>
        <v>2</v>
      </c>
      <c r="G459">
        <f ca="1">VLOOKUP(C459,Products!$A$2:$C$9,3,FALSE)</f>
        <v>90</v>
      </c>
      <c r="H459">
        <f t="shared" ca="1" si="31"/>
        <v>180</v>
      </c>
    </row>
    <row r="460" spans="1:8" x14ac:dyDescent="0.35">
      <c r="A460">
        <f t="shared" si="28"/>
        <v>1459</v>
      </c>
      <c r="B460" s="2">
        <f t="shared" ca="1" si="29"/>
        <v>45703</v>
      </c>
      <c r="C460" t="str" cm="1">
        <f t="array" aca="1" ref="C460" ca="1">INDEX(Products!$A$2:$A$9,RANDBETWEEN(1,8))</f>
        <v>Hat</v>
      </c>
      <c r="D460" t="str">
        <f ca="1">_xlfn.XLOOKUP(C460,Products!A:A,Products!B:B)</f>
        <v>Accessories</v>
      </c>
      <c r="E460" t="str" cm="1">
        <f t="array" aca="1" ref="E460" ca="1">INDEX(Regions!$A$2:$A$7,RANDBETWEEN(1,6))</f>
        <v>Cork</v>
      </c>
      <c r="F460">
        <f t="shared" ca="1" si="30"/>
        <v>3</v>
      </c>
      <c r="G460">
        <f ca="1">VLOOKUP(C460,Products!$A$2:$C$9,3,FALSE)</f>
        <v>25</v>
      </c>
      <c r="H460">
        <f t="shared" ca="1" si="31"/>
        <v>75</v>
      </c>
    </row>
    <row r="461" spans="1:8" x14ac:dyDescent="0.35">
      <c r="A461">
        <f t="shared" si="28"/>
        <v>1460</v>
      </c>
      <c r="B461" s="2">
        <f t="shared" ca="1" si="29"/>
        <v>46021</v>
      </c>
      <c r="C461" t="str" cm="1">
        <f t="array" aca="1" ref="C461" ca="1">INDEX(Products!$A$2:$A$9,RANDBETWEEN(1,8))</f>
        <v>Jacket</v>
      </c>
      <c r="D461" t="str">
        <f ca="1">_xlfn.XLOOKUP(C461,Products!A:A,Products!B:B)</f>
        <v>Training Wear</v>
      </c>
      <c r="E461" t="str" cm="1">
        <f t="array" aca="1" ref="E461" ca="1">INDEX(Regions!$A$2:$A$7,RANDBETWEEN(1,6))</f>
        <v>Dublin</v>
      </c>
      <c r="F461">
        <f t="shared" ca="1" si="30"/>
        <v>5</v>
      </c>
      <c r="G461">
        <f ca="1">VLOOKUP(C461,Products!$A$2:$C$9,3,FALSE)</f>
        <v>90</v>
      </c>
      <c r="H461">
        <f t="shared" ca="1" si="31"/>
        <v>450</v>
      </c>
    </row>
    <row r="462" spans="1:8" x14ac:dyDescent="0.35">
      <c r="A462">
        <f t="shared" si="28"/>
        <v>1461</v>
      </c>
      <c r="B462" s="2">
        <f t="shared" ca="1" si="29"/>
        <v>45879</v>
      </c>
      <c r="C462" t="str" cm="1">
        <f t="array" aca="1" ref="C462" ca="1">INDEX(Products!$A$2:$A$9,RANDBETWEEN(1,8))</f>
        <v>Third Jersey</v>
      </c>
      <c r="D462" t="str">
        <f ca="1">_xlfn.XLOOKUP(C462,Products!A:A,Products!B:B)</f>
        <v>Jerseys</v>
      </c>
      <c r="E462" t="str" cm="1">
        <f t="array" aca="1" ref="E462" ca="1">INDEX(Regions!$A$2:$A$7,RANDBETWEEN(1,6))</f>
        <v>Belfast</v>
      </c>
      <c r="F462">
        <f t="shared" ca="1" si="30"/>
        <v>3</v>
      </c>
      <c r="G462">
        <f ca="1">VLOOKUP(C462,Products!$A$2:$C$9,3,FALSE)</f>
        <v>85</v>
      </c>
      <c r="H462">
        <f t="shared" ca="1" si="31"/>
        <v>255</v>
      </c>
    </row>
    <row r="463" spans="1:8" x14ac:dyDescent="0.35">
      <c r="A463">
        <f t="shared" si="28"/>
        <v>1462</v>
      </c>
      <c r="B463" s="2">
        <f t="shared" ca="1" si="29"/>
        <v>45839</v>
      </c>
      <c r="C463" t="str" cm="1">
        <f t="array" aca="1" ref="C463" ca="1">INDEX(Products!$A$2:$A$9,RANDBETWEEN(1,8))</f>
        <v>Scarf</v>
      </c>
      <c r="D463" t="str">
        <f ca="1">_xlfn.XLOOKUP(C463,Products!A:A,Products!B:B)</f>
        <v>Accessories</v>
      </c>
      <c r="E463" t="str" cm="1">
        <f t="array" aca="1" ref="E463" ca="1">INDEX(Regions!$A$2:$A$7,RANDBETWEEN(1,6))</f>
        <v>Waterford</v>
      </c>
      <c r="F463">
        <f t="shared" ca="1" si="30"/>
        <v>5</v>
      </c>
      <c r="G463">
        <f ca="1">VLOOKUP(C463,Products!$A$2:$C$9,3,FALSE)</f>
        <v>20</v>
      </c>
      <c r="H463">
        <f t="shared" ca="1" si="31"/>
        <v>100</v>
      </c>
    </row>
    <row r="464" spans="1:8" x14ac:dyDescent="0.35">
      <c r="A464">
        <f t="shared" si="28"/>
        <v>1463</v>
      </c>
      <c r="B464" s="2">
        <f t="shared" ca="1" si="29"/>
        <v>45789</v>
      </c>
      <c r="C464" t="str" cm="1">
        <f t="array" aca="1" ref="C464" ca="1">INDEX(Products!$A$2:$A$9,RANDBETWEEN(1,8))</f>
        <v>Third Jersey</v>
      </c>
      <c r="D464" t="str">
        <f ca="1">_xlfn.XLOOKUP(C464,Products!A:A,Products!B:B)</f>
        <v>Jerseys</v>
      </c>
      <c r="E464" t="str" cm="1">
        <f t="array" aca="1" ref="E464" ca="1">INDEX(Regions!$A$2:$A$7,RANDBETWEEN(1,6))</f>
        <v>Galway</v>
      </c>
      <c r="F464">
        <f t="shared" ca="1" si="30"/>
        <v>2</v>
      </c>
      <c r="G464">
        <f ca="1">VLOOKUP(C464,Products!$A$2:$C$9,3,FALSE)</f>
        <v>85</v>
      </c>
      <c r="H464">
        <f t="shared" ca="1" si="31"/>
        <v>170</v>
      </c>
    </row>
    <row r="465" spans="1:8" x14ac:dyDescent="0.35">
      <c r="A465">
        <f t="shared" si="28"/>
        <v>1464</v>
      </c>
      <c r="B465" s="2">
        <f t="shared" ca="1" si="29"/>
        <v>45694</v>
      </c>
      <c r="C465" t="str" cm="1">
        <f t="array" aca="1" ref="C465" ca="1">INDEX(Products!$A$2:$A$9,RANDBETWEEN(1,8))</f>
        <v>Away Jersey</v>
      </c>
      <c r="D465" t="str">
        <f ca="1">_xlfn.XLOOKUP(C465,Products!A:A,Products!B:B)</f>
        <v>Jerseys</v>
      </c>
      <c r="E465" t="str" cm="1">
        <f t="array" aca="1" ref="E465" ca="1">INDEX(Regions!$A$2:$A$7,RANDBETWEEN(1,6))</f>
        <v>Limerick</v>
      </c>
      <c r="F465">
        <f t="shared" ca="1" si="30"/>
        <v>1</v>
      </c>
      <c r="G465">
        <f ca="1">VLOOKUP(C465,Products!$A$2:$C$9,3,FALSE)</f>
        <v>80</v>
      </c>
      <c r="H465">
        <f t="shared" ca="1" si="31"/>
        <v>80</v>
      </c>
    </row>
    <row r="466" spans="1:8" x14ac:dyDescent="0.35">
      <c r="A466">
        <f t="shared" si="28"/>
        <v>1465</v>
      </c>
      <c r="B466" s="2">
        <f t="shared" ca="1" si="29"/>
        <v>45577</v>
      </c>
      <c r="C466" t="str" cm="1">
        <f t="array" aca="1" ref="C466" ca="1">INDEX(Products!$A$2:$A$9,RANDBETWEEN(1,8))</f>
        <v>Third Jersey</v>
      </c>
      <c r="D466" t="str">
        <f ca="1">_xlfn.XLOOKUP(C466,Products!A:A,Products!B:B)</f>
        <v>Jerseys</v>
      </c>
      <c r="E466" t="str" cm="1">
        <f t="array" aca="1" ref="E466" ca="1">INDEX(Regions!$A$2:$A$7,RANDBETWEEN(1,6))</f>
        <v>Dublin</v>
      </c>
      <c r="F466">
        <f t="shared" ca="1" si="30"/>
        <v>3</v>
      </c>
      <c r="G466">
        <f ca="1">VLOOKUP(C466,Products!$A$2:$C$9,3,FALSE)</f>
        <v>85</v>
      </c>
      <c r="H466">
        <f t="shared" ca="1" si="31"/>
        <v>255</v>
      </c>
    </row>
    <row r="467" spans="1:8" x14ac:dyDescent="0.35">
      <c r="A467">
        <f t="shared" si="28"/>
        <v>1466</v>
      </c>
      <c r="B467" s="2">
        <f t="shared" ca="1" si="29"/>
        <v>45920</v>
      </c>
      <c r="C467" t="str" cm="1">
        <f t="array" aca="1" ref="C467" ca="1">INDEX(Products!$A$2:$A$9,RANDBETWEEN(1,8))</f>
        <v>Third Jersey</v>
      </c>
      <c r="D467" t="str">
        <f ca="1">_xlfn.XLOOKUP(C467,Products!A:A,Products!B:B)</f>
        <v>Jerseys</v>
      </c>
      <c r="E467" t="str" cm="1">
        <f t="array" aca="1" ref="E467" ca="1">INDEX(Regions!$A$2:$A$7,RANDBETWEEN(1,6))</f>
        <v>Galway</v>
      </c>
      <c r="F467">
        <f t="shared" ca="1" si="30"/>
        <v>2</v>
      </c>
      <c r="G467">
        <f ca="1">VLOOKUP(C467,Products!$A$2:$C$9,3,FALSE)</f>
        <v>85</v>
      </c>
      <c r="H467">
        <f t="shared" ca="1" si="31"/>
        <v>170</v>
      </c>
    </row>
    <row r="468" spans="1:8" x14ac:dyDescent="0.35">
      <c r="A468">
        <f t="shared" si="28"/>
        <v>1467</v>
      </c>
      <c r="B468" s="2">
        <f t="shared" ca="1" si="29"/>
        <v>45609</v>
      </c>
      <c r="C468" t="str" cm="1">
        <f t="array" aca="1" ref="C468" ca="1">INDEX(Products!$A$2:$A$9,RANDBETWEEN(1,8))</f>
        <v>Training Top</v>
      </c>
      <c r="D468" t="str">
        <f ca="1">_xlfn.XLOOKUP(C468,Products!A:A,Products!B:B)</f>
        <v>Training Wear</v>
      </c>
      <c r="E468" t="str" cm="1">
        <f t="array" aca="1" ref="E468" ca="1">INDEX(Regions!$A$2:$A$7,RANDBETWEEN(1,6))</f>
        <v>Belfast</v>
      </c>
      <c r="F468">
        <f t="shared" ca="1" si="30"/>
        <v>3</v>
      </c>
      <c r="G468">
        <f ca="1">VLOOKUP(C468,Products!$A$2:$C$9,3,FALSE)</f>
        <v>55</v>
      </c>
      <c r="H468">
        <f t="shared" ca="1" si="31"/>
        <v>165</v>
      </c>
    </row>
    <row r="469" spans="1:8" x14ac:dyDescent="0.35">
      <c r="A469">
        <f t="shared" si="28"/>
        <v>1468</v>
      </c>
      <c r="B469" s="2">
        <f t="shared" ca="1" si="29"/>
        <v>45761</v>
      </c>
      <c r="C469" t="str" cm="1">
        <f t="array" aca="1" ref="C469" ca="1">INDEX(Products!$A$2:$A$9,RANDBETWEEN(1,8))</f>
        <v>Home Jersey</v>
      </c>
      <c r="D469" t="str">
        <f ca="1">_xlfn.XLOOKUP(C469,Products!A:A,Products!B:B)</f>
        <v>Jerseys</v>
      </c>
      <c r="E469" t="str" cm="1">
        <f t="array" aca="1" ref="E469" ca="1">INDEX(Regions!$A$2:$A$7,RANDBETWEEN(1,6))</f>
        <v>Dublin</v>
      </c>
      <c r="F469">
        <f t="shared" ca="1" si="30"/>
        <v>4</v>
      </c>
      <c r="G469">
        <f ca="1">VLOOKUP(C469,Products!$A$2:$C$9,3,FALSE)</f>
        <v>80</v>
      </c>
      <c r="H469">
        <f t="shared" ca="1" si="31"/>
        <v>320</v>
      </c>
    </row>
    <row r="470" spans="1:8" x14ac:dyDescent="0.35">
      <c r="A470">
        <f t="shared" si="28"/>
        <v>1469</v>
      </c>
      <c r="B470" s="2">
        <f t="shared" ca="1" si="29"/>
        <v>45647</v>
      </c>
      <c r="C470" t="str" cm="1">
        <f t="array" aca="1" ref="C470" ca="1">INDEX(Products!$A$2:$A$9,RANDBETWEEN(1,8))</f>
        <v>Hat</v>
      </c>
      <c r="D470" t="str">
        <f ca="1">_xlfn.XLOOKUP(C470,Products!A:A,Products!B:B)</f>
        <v>Accessories</v>
      </c>
      <c r="E470" t="str" cm="1">
        <f t="array" aca="1" ref="E470" ca="1">INDEX(Regions!$A$2:$A$7,RANDBETWEEN(1,6))</f>
        <v>Limerick</v>
      </c>
      <c r="F470">
        <f t="shared" ca="1" si="30"/>
        <v>2</v>
      </c>
      <c r="G470">
        <f ca="1">VLOOKUP(C470,Products!$A$2:$C$9,3,FALSE)</f>
        <v>25</v>
      </c>
      <c r="H470">
        <f t="shared" ca="1" si="31"/>
        <v>50</v>
      </c>
    </row>
    <row r="471" spans="1:8" x14ac:dyDescent="0.35">
      <c r="A471">
        <f t="shared" si="28"/>
        <v>1470</v>
      </c>
      <c r="B471" s="2">
        <f t="shared" ca="1" si="29"/>
        <v>45455</v>
      </c>
      <c r="C471" t="str" cm="1">
        <f t="array" aca="1" ref="C471" ca="1">INDEX(Products!$A$2:$A$9,RANDBETWEEN(1,8))</f>
        <v>Jacket</v>
      </c>
      <c r="D471" t="str">
        <f ca="1">_xlfn.XLOOKUP(C471,Products!A:A,Products!B:B)</f>
        <v>Training Wear</v>
      </c>
      <c r="E471" t="str" cm="1">
        <f t="array" aca="1" ref="E471" ca="1">INDEX(Regions!$A$2:$A$7,RANDBETWEEN(1,6))</f>
        <v>Cork</v>
      </c>
      <c r="F471">
        <f t="shared" ca="1" si="30"/>
        <v>2</v>
      </c>
      <c r="G471">
        <f ca="1">VLOOKUP(C471,Products!$A$2:$C$9,3,FALSE)</f>
        <v>90</v>
      </c>
      <c r="H471">
        <f t="shared" ca="1" si="31"/>
        <v>180</v>
      </c>
    </row>
    <row r="472" spans="1:8" x14ac:dyDescent="0.35">
      <c r="A472">
        <f t="shared" si="28"/>
        <v>1471</v>
      </c>
      <c r="B472" s="2">
        <f t="shared" ca="1" si="29"/>
        <v>45849</v>
      </c>
      <c r="C472" t="str" cm="1">
        <f t="array" aca="1" ref="C472" ca="1">INDEX(Products!$A$2:$A$9,RANDBETWEEN(1,8))</f>
        <v>Home Jersey</v>
      </c>
      <c r="D472" t="str">
        <f ca="1">_xlfn.XLOOKUP(C472,Products!A:A,Products!B:B)</f>
        <v>Jerseys</v>
      </c>
      <c r="E472" t="str" cm="1">
        <f t="array" aca="1" ref="E472" ca="1">INDEX(Regions!$A$2:$A$7,RANDBETWEEN(1,6))</f>
        <v>Limerick</v>
      </c>
      <c r="F472">
        <f t="shared" ca="1" si="30"/>
        <v>3</v>
      </c>
      <c r="G472">
        <f ca="1">VLOOKUP(C472,Products!$A$2:$C$9,3,FALSE)</f>
        <v>80</v>
      </c>
      <c r="H472">
        <f t="shared" ca="1" si="31"/>
        <v>240</v>
      </c>
    </row>
    <row r="473" spans="1:8" x14ac:dyDescent="0.35">
      <c r="A473">
        <f t="shared" si="28"/>
        <v>1472</v>
      </c>
      <c r="B473" s="2">
        <f t="shared" ca="1" si="29"/>
        <v>45788</v>
      </c>
      <c r="C473" t="str" cm="1">
        <f t="array" aca="1" ref="C473" ca="1">INDEX(Products!$A$2:$A$9,RANDBETWEEN(1,8))</f>
        <v>Hat</v>
      </c>
      <c r="D473" t="str">
        <f ca="1">_xlfn.XLOOKUP(C473,Products!A:A,Products!B:B)</f>
        <v>Accessories</v>
      </c>
      <c r="E473" t="str" cm="1">
        <f t="array" aca="1" ref="E473" ca="1">INDEX(Regions!$A$2:$A$7,RANDBETWEEN(1,6))</f>
        <v>Waterford</v>
      </c>
      <c r="F473">
        <f t="shared" ca="1" si="30"/>
        <v>1</v>
      </c>
      <c r="G473">
        <f ca="1">VLOOKUP(C473,Products!$A$2:$C$9,3,FALSE)</f>
        <v>25</v>
      </c>
      <c r="H473">
        <f t="shared" ca="1" si="31"/>
        <v>25</v>
      </c>
    </row>
    <row r="474" spans="1:8" x14ac:dyDescent="0.35">
      <c r="A474">
        <f t="shared" si="28"/>
        <v>1473</v>
      </c>
      <c r="B474" s="2">
        <f t="shared" ca="1" si="29"/>
        <v>45309</v>
      </c>
      <c r="C474" t="str" cm="1">
        <f t="array" aca="1" ref="C474" ca="1">INDEX(Products!$A$2:$A$9,RANDBETWEEN(1,8))</f>
        <v>Training Top</v>
      </c>
      <c r="D474" t="str">
        <f ca="1">_xlfn.XLOOKUP(C474,Products!A:A,Products!B:B)</f>
        <v>Training Wear</v>
      </c>
      <c r="E474" t="str" cm="1">
        <f t="array" aca="1" ref="E474" ca="1">INDEX(Regions!$A$2:$A$7,RANDBETWEEN(1,6))</f>
        <v>Limerick</v>
      </c>
      <c r="F474">
        <f t="shared" ca="1" si="30"/>
        <v>1</v>
      </c>
      <c r="G474">
        <f ca="1">VLOOKUP(C474,Products!$A$2:$C$9,3,FALSE)</f>
        <v>55</v>
      </c>
      <c r="H474">
        <f t="shared" ca="1" si="31"/>
        <v>55</v>
      </c>
    </row>
    <row r="475" spans="1:8" x14ac:dyDescent="0.35">
      <c r="A475">
        <f t="shared" si="28"/>
        <v>1474</v>
      </c>
      <c r="B475" s="2">
        <f t="shared" ca="1" si="29"/>
        <v>45485</v>
      </c>
      <c r="C475" t="str" cm="1">
        <f t="array" aca="1" ref="C475" ca="1">INDEX(Products!$A$2:$A$9,RANDBETWEEN(1,8))</f>
        <v>Scarf</v>
      </c>
      <c r="D475" t="str">
        <f ca="1">_xlfn.XLOOKUP(C475,Products!A:A,Products!B:B)</f>
        <v>Accessories</v>
      </c>
      <c r="E475" t="str" cm="1">
        <f t="array" aca="1" ref="E475" ca="1">INDEX(Regions!$A$2:$A$7,RANDBETWEEN(1,6))</f>
        <v>Waterford</v>
      </c>
      <c r="F475">
        <f t="shared" ca="1" si="30"/>
        <v>2</v>
      </c>
      <c r="G475">
        <f ca="1">VLOOKUP(C475,Products!$A$2:$C$9,3,FALSE)</f>
        <v>20</v>
      </c>
      <c r="H475">
        <f t="shared" ca="1" si="31"/>
        <v>40</v>
      </c>
    </row>
    <row r="476" spans="1:8" x14ac:dyDescent="0.35">
      <c r="A476">
        <f t="shared" si="28"/>
        <v>1475</v>
      </c>
      <c r="B476" s="2">
        <f t="shared" ca="1" si="29"/>
        <v>45444</v>
      </c>
      <c r="C476" t="str" cm="1">
        <f t="array" aca="1" ref="C476" ca="1">INDEX(Products!$A$2:$A$9,RANDBETWEEN(1,8))</f>
        <v>Third Jersey</v>
      </c>
      <c r="D476" t="str">
        <f ca="1">_xlfn.XLOOKUP(C476,Products!A:A,Products!B:B)</f>
        <v>Jerseys</v>
      </c>
      <c r="E476" t="str" cm="1">
        <f t="array" aca="1" ref="E476" ca="1">INDEX(Regions!$A$2:$A$7,RANDBETWEEN(1,6))</f>
        <v>Limerick</v>
      </c>
      <c r="F476">
        <f t="shared" ca="1" si="30"/>
        <v>1</v>
      </c>
      <c r="G476">
        <f ca="1">VLOOKUP(C476,Products!$A$2:$C$9,3,FALSE)</f>
        <v>85</v>
      </c>
      <c r="H476">
        <f t="shared" ca="1" si="31"/>
        <v>85</v>
      </c>
    </row>
    <row r="477" spans="1:8" x14ac:dyDescent="0.35">
      <c r="A477">
        <f t="shared" si="28"/>
        <v>1476</v>
      </c>
      <c r="B477" s="2">
        <f t="shared" ca="1" si="29"/>
        <v>45961</v>
      </c>
      <c r="C477" t="str" cm="1">
        <f t="array" aca="1" ref="C477" ca="1">INDEX(Products!$A$2:$A$9,RANDBETWEEN(1,8))</f>
        <v>Football</v>
      </c>
      <c r="D477" t="str">
        <f ca="1">_xlfn.XLOOKUP(C477,Products!A:A,Products!B:B)</f>
        <v>Equipment</v>
      </c>
      <c r="E477" t="str" cm="1">
        <f t="array" aca="1" ref="E477" ca="1">INDEX(Regions!$A$2:$A$7,RANDBETWEEN(1,6))</f>
        <v>Dublin</v>
      </c>
      <c r="F477">
        <f t="shared" ca="1" si="30"/>
        <v>2</v>
      </c>
      <c r="G477">
        <f ca="1">VLOOKUP(C477,Products!$A$2:$C$9,3,FALSE)</f>
        <v>30</v>
      </c>
      <c r="H477">
        <f t="shared" ca="1" si="31"/>
        <v>60</v>
      </c>
    </row>
    <row r="478" spans="1:8" x14ac:dyDescent="0.35">
      <c r="A478">
        <f t="shared" si="28"/>
        <v>1477</v>
      </c>
      <c r="B478" s="2">
        <f t="shared" ca="1" si="29"/>
        <v>45893</v>
      </c>
      <c r="C478" t="str" cm="1">
        <f t="array" aca="1" ref="C478" ca="1">INDEX(Products!$A$2:$A$9,RANDBETWEEN(1,8))</f>
        <v>Scarf</v>
      </c>
      <c r="D478" t="str">
        <f ca="1">_xlfn.XLOOKUP(C478,Products!A:A,Products!B:B)</f>
        <v>Accessories</v>
      </c>
      <c r="E478" t="str" cm="1">
        <f t="array" aca="1" ref="E478" ca="1">INDEX(Regions!$A$2:$A$7,RANDBETWEEN(1,6))</f>
        <v>Galway</v>
      </c>
      <c r="F478">
        <f t="shared" ca="1" si="30"/>
        <v>3</v>
      </c>
      <c r="G478">
        <f ca="1">VLOOKUP(C478,Products!$A$2:$C$9,3,FALSE)</f>
        <v>20</v>
      </c>
      <c r="H478">
        <f t="shared" ca="1" si="31"/>
        <v>60</v>
      </c>
    </row>
    <row r="479" spans="1:8" x14ac:dyDescent="0.35">
      <c r="A479">
        <f t="shared" si="28"/>
        <v>1478</v>
      </c>
      <c r="B479" s="2">
        <f t="shared" ca="1" si="29"/>
        <v>45590</v>
      </c>
      <c r="C479" t="str" cm="1">
        <f t="array" aca="1" ref="C479" ca="1">INDEX(Products!$A$2:$A$9,RANDBETWEEN(1,8))</f>
        <v>Hat</v>
      </c>
      <c r="D479" t="str">
        <f ca="1">_xlfn.XLOOKUP(C479,Products!A:A,Products!B:B)</f>
        <v>Accessories</v>
      </c>
      <c r="E479" t="str" cm="1">
        <f t="array" aca="1" ref="E479" ca="1">INDEX(Regions!$A$2:$A$7,RANDBETWEEN(1,6))</f>
        <v>Waterford</v>
      </c>
      <c r="F479">
        <f t="shared" ca="1" si="30"/>
        <v>2</v>
      </c>
      <c r="G479">
        <f ca="1">VLOOKUP(C479,Products!$A$2:$C$9,3,FALSE)</f>
        <v>25</v>
      </c>
      <c r="H479">
        <f t="shared" ca="1" si="31"/>
        <v>50</v>
      </c>
    </row>
    <row r="480" spans="1:8" x14ac:dyDescent="0.35">
      <c r="A480">
        <f t="shared" si="28"/>
        <v>1479</v>
      </c>
      <c r="B480" s="2">
        <f t="shared" ca="1" si="29"/>
        <v>45417</v>
      </c>
      <c r="C480" t="str" cm="1">
        <f t="array" aca="1" ref="C480" ca="1">INDEX(Products!$A$2:$A$9,RANDBETWEEN(1,8))</f>
        <v>Third Jersey</v>
      </c>
      <c r="D480" t="str">
        <f ca="1">_xlfn.XLOOKUP(C480,Products!A:A,Products!B:B)</f>
        <v>Jerseys</v>
      </c>
      <c r="E480" t="str" cm="1">
        <f t="array" aca="1" ref="E480" ca="1">INDEX(Regions!$A$2:$A$7,RANDBETWEEN(1,6))</f>
        <v>Belfast</v>
      </c>
      <c r="F480">
        <f t="shared" ca="1" si="30"/>
        <v>1</v>
      </c>
      <c r="G480">
        <f ca="1">VLOOKUP(C480,Products!$A$2:$C$9,3,FALSE)</f>
        <v>85</v>
      </c>
      <c r="H480">
        <f t="shared" ca="1" si="31"/>
        <v>85</v>
      </c>
    </row>
    <row r="481" spans="1:8" x14ac:dyDescent="0.35">
      <c r="A481">
        <f t="shared" si="28"/>
        <v>1480</v>
      </c>
      <c r="B481" s="2">
        <f t="shared" ca="1" si="29"/>
        <v>45784</v>
      </c>
      <c r="C481" t="str" cm="1">
        <f t="array" aca="1" ref="C481" ca="1">INDEX(Products!$A$2:$A$9,RANDBETWEEN(1,8))</f>
        <v>Hat</v>
      </c>
      <c r="D481" t="str">
        <f ca="1">_xlfn.XLOOKUP(C481,Products!A:A,Products!B:B)</f>
        <v>Accessories</v>
      </c>
      <c r="E481" t="str" cm="1">
        <f t="array" aca="1" ref="E481" ca="1">INDEX(Regions!$A$2:$A$7,RANDBETWEEN(1,6))</f>
        <v>Dublin</v>
      </c>
      <c r="F481">
        <f t="shared" ca="1" si="30"/>
        <v>3</v>
      </c>
      <c r="G481">
        <f ca="1">VLOOKUP(C481,Products!$A$2:$C$9,3,FALSE)</f>
        <v>25</v>
      </c>
      <c r="H481">
        <f t="shared" ca="1" si="31"/>
        <v>75</v>
      </c>
    </row>
    <row r="482" spans="1:8" x14ac:dyDescent="0.35">
      <c r="A482">
        <f t="shared" si="28"/>
        <v>1481</v>
      </c>
      <c r="B482" s="2">
        <f t="shared" ca="1" si="29"/>
        <v>46021</v>
      </c>
      <c r="C482" t="str" cm="1">
        <f t="array" aca="1" ref="C482" ca="1">INDEX(Products!$A$2:$A$9,RANDBETWEEN(1,8))</f>
        <v>Scarf</v>
      </c>
      <c r="D482" t="str">
        <f ca="1">_xlfn.XLOOKUP(C482,Products!A:A,Products!B:B)</f>
        <v>Accessories</v>
      </c>
      <c r="E482" t="str" cm="1">
        <f t="array" aca="1" ref="E482" ca="1">INDEX(Regions!$A$2:$A$7,RANDBETWEEN(1,6))</f>
        <v>Galway</v>
      </c>
      <c r="F482">
        <f t="shared" ca="1" si="30"/>
        <v>5</v>
      </c>
      <c r="G482">
        <f ca="1">VLOOKUP(C482,Products!$A$2:$C$9,3,FALSE)</f>
        <v>20</v>
      </c>
      <c r="H482">
        <f t="shared" ca="1" si="31"/>
        <v>100</v>
      </c>
    </row>
    <row r="483" spans="1:8" x14ac:dyDescent="0.35">
      <c r="A483">
        <f t="shared" si="28"/>
        <v>1482</v>
      </c>
      <c r="B483" s="2">
        <f t="shared" ca="1" si="29"/>
        <v>45478</v>
      </c>
      <c r="C483" t="str" cm="1">
        <f t="array" aca="1" ref="C483" ca="1">INDEX(Products!$A$2:$A$9,RANDBETWEEN(1,8))</f>
        <v>Away Jersey</v>
      </c>
      <c r="D483" t="str">
        <f ca="1">_xlfn.XLOOKUP(C483,Products!A:A,Products!B:B)</f>
        <v>Jerseys</v>
      </c>
      <c r="E483" t="str" cm="1">
        <f t="array" aca="1" ref="E483" ca="1">INDEX(Regions!$A$2:$A$7,RANDBETWEEN(1,6))</f>
        <v>Dublin</v>
      </c>
      <c r="F483">
        <f t="shared" ca="1" si="30"/>
        <v>4</v>
      </c>
      <c r="G483">
        <f ca="1">VLOOKUP(C483,Products!$A$2:$C$9,3,FALSE)</f>
        <v>80</v>
      </c>
      <c r="H483">
        <f t="shared" ca="1" si="31"/>
        <v>320</v>
      </c>
    </row>
    <row r="484" spans="1:8" x14ac:dyDescent="0.35">
      <c r="A484">
        <f t="shared" si="28"/>
        <v>1483</v>
      </c>
      <c r="B484" s="2">
        <f t="shared" ca="1" si="29"/>
        <v>45508</v>
      </c>
      <c r="C484" t="str" cm="1">
        <f t="array" aca="1" ref="C484" ca="1">INDEX(Products!$A$2:$A$9,RANDBETWEEN(1,8))</f>
        <v>Third Jersey</v>
      </c>
      <c r="D484" t="str">
        <f ca="1">_xlfn.XLOOKUP(C484,Products!A:A,Products!B:B)</f>
        <v>Jerseys</v>
      </c>
      <c r="E484" t="str" cm="1">
        <f t="array" aca="1" ref="E484" ca="1">INDEX(Regions!$A$2:$A$7,RANDBETWEEN(1,6))</f>
        <v>Belfast</v>
      </c>
      <c r="F484">
        <f t="shared" ca="1" si="30"/>
        <v>1</v>
      </c>
      <c r="G484">
        <f ca="1">VLOOKUP(C484,Products!$A$2:$C$9,3,FALSE)</f>
        <v>85</v>
      </c>
      <c r="H484">
        <f t="shared" ca="1" si="31"/>
        <v>85</v>
      </c>
    </row>
    <row r="485" spans="1:8" x14ac:dyDescent="0.35">
      <c r="A485">
        <f t="shared" si="28"/>
        <v>1484</v>
      </c>
      <c r="B485" s="2">
        <f t="shared" ca="1" si="29"/>
        <v>45327</v>
      </c>
      <c r="C485" t="str" cm="1">
        <f t="array" aca="1" ref="C485" ca="1">INDEX(Products!$A$2:$A$9,RANDBETWEEN(1,8))</f>
        <v>Training Top</v>
      </c>
      <c r="D485" t="str">
        <f ca="1">_xlfn.XLOOKUP(C485,Products!A:A,Products!B:B)</f>
        <v>Training Wear</v>
      </c>
      <c r="E485" t="str" cm="1">
        <f t="array" aca="1" ref="E485" ca="1">INDEX(Regions!$A$2:$A$7,RANDBETWEEN(1,6))</f>
        <v>Belfast</v>
      </c>
      <c r="F485">
        <f t="shared" ca="1" si="30"/>
        <v>5</v>
      </c>
      <c r="G485">
        <f ca="1">VLOOKUP(C485,Products!$A$2:$C$9,3,FALSE)</f>
        <v>55</v>
      </c>
      <c r="H485">
        <f t="shared" ca="1" si="31"/>
        <v>275</v>
      </c>
    </row>
    <row r="486" spans="1:8" x14ac:dyDescent="0.35">
      <c r="A486">
        <f t="shared" si="28"/>
        <v>1485</v>
      </c>
      <c r="B486" s="2">
        <f t="shared" ca="1" si="29"/>
        <v>45883</v>
      </c>
      <c r="C486" t="str" cm="1">
        <f t="array" aca="1" ref="C486" ca="1">INDEX(Products!$A$2:$A$9,RANDBETWEEN(1,8))</f>
        <v>Third Jersey</v>
      </c>
      <c r="D486" t="str">
        <f ca="1">_xlfn.XLOOKUP(C486,Products!A:A,Products!B:B)</f>
        <v>Jerseys</v>
      </c>
      <c r="E486" t="str" cm="1">
        <f t="array" aca="1" ref="E486" ca="1">INDEX(Regions!$A$2:$A$7,RANDBETWEEN(1,6))</f>
        <v>Limerick</v>
      </c>
      <c r="F486">
        <f t="shared" ca="1" si="30"/>
        <v>4</v>
      </c>
      <c r="G486">
        <f ca="1">VLOOKUP(C486,Products!$A$2:$C$9,3,FALSE)</f>
        <v>85</v>
      </c>
      <c r="H486">
        <f t="shared" ca="1" si="31"/>
        <v>340</v>
      </c>
    </row>
    <row r="487" spans="1:8" x14ac:dyDescent="0.35">
      <c r="A487">
        <f t="shared" si="28"/>
        <v>1486</v>
      </c>
      <c r="B487" s="2">
        <f t="shared" ca="1" si="29"/>
        <v>45454</v>
      </c>
      <c r="C487" t="str" cm="1">
        <f t="array" aca="1" ref="C487" ca="1">INDEX(Products!$A$2:$A$9,RANDBETWEEN(1,8))</f>
        <v>Football</v>
      </c>
      <c r="D487" t="str">
        <f ca="1">_xlfn.XLOOKUP(C487,Products!A:A,Products!B:B)</f>
        <v>Equipment</v>
      </c>
      <c r="E487" t="str" cm="1">
        <f t="array" aca="1" ref="E487" ca="1">INDEX(Regions!$A$2:$A$7,RANDBETWEEN(1,6))</f>
        <v>Galway</v>
      </c>
      <c r="F487">
        <f t="shared" ca="1" si="30"/>
        <v>5</v>
      </c>
      <c r="G487">
        <f ca="1">VLOOKUP(C487,Products!$A$2:$C$9,3,FALSE)</f>
        <v>30</v>
      </c>
      <c r="H487">
        <f t="shared" ca="1" si="31"/>
        <v>150</v>
      </c>
    </row>
    <row r="488" spans="1:8" x14ac:dyDescent="0.35">
      <c r="A488">
        <f t="shared" si="28"/>
        <v>1487</v>
      </c>
      <c r="B488" s="2">
        <f t="shared" ca="1" si="29"/>
        <v>45393</v>
      </c>
      <c r="C488" t="str" cm="1">
        <f t="array" aca="1" ref="C488" ca="1">INDEX(Products!$A$2:$A$9,RANDBETWEEN(1,8))</f>
        <v>Jacket</v>
      </c>
      <c r="D488" t="str">
        <f ca="1">_xlfn.XLOOKUP(C488,Products!A:A,Products!B:B)</f>
        <v>Training Wear</v>
      </c>
      <c r="E488" t="str" cm="1">
        <f t="array" aca="1" ref="E488" ca="1">INDEX(Regions!$A$2:$A$7,RANDBETWEEN(1,6))</f>
        <v>Belfast</v>
      </c>
      <c r="F488">
        <f t="shared" ca="1" si="30"/>
        <v>4</v>
      </c>
      <c r="G488">
        <f ca="1">VLOOKUP(C488,Products!$A$2:$C$9,3,FALSE)</f>
        <v>90</v>
      </c>
      <c r="H488">
        <f t="shared" ca="1" si="31"/>
        <v>360</v>
      </c>
    </row>
    <row r="489" spans="1:8" x14ac:dyDescent="0.35">
      <c r="A489">
        <f t="shared" si="28"/>
        <v>1488</v>
      </c>
      <c r="B489" s="2">
        <f t="shared" ca="1" si="29"/>
        <v>45663</v>
      </c>
      <c r="C489" t="str" cm="1">
        <f t="array" aca="1" ref="C489" ca="1">INDEX(Products!$A$2:$A$9,RANDBETWEEN(1,8))</f>
        <v>Jacket</v>
      </c>
      <c r="D489" t="str">
        <f ca="1">_xlfn.XLOOKUP(C489,Products!A:A,Products!B:B)</f>
        <v>Training Wear</v>
      </c>
      <c r="E489" t="str" cm="1">
        <f t="array" aca="1" ref="E489" ca="1">INDEX(Regions!$A$2:$A$7,RANDBETWEEN(1,6))</f>
        <v>Limerick</v>
      </c>
      <c r="F489">
        <f t="shared" ca="1" si="30"/>
        <v>5</v>
      </c>
      <c r="G489">
        <f ca="1">VLOOKUP(C489,Products!$A$2:$C$9,3,FALSE)</f>
        <v>90</v>
      </c>
      <c r="H489">
        <f t="shared" ca="1" si="31"/>
        <v>450</v>
      </c>
    </row>
    <row r="490" spans="1:8" x14ac:dyDescent="0.35">
      <c r="A490">
        <f t="shared" si="28"/>
        <v>1489</v>
      </c>
      <c r="B490" s="2">
        <f t="shared" ca="1" si="29"/>
        <v>45650</v>
      </c>
      <c r="C490" t="str" cm="1">
        <f t="array" aca="1" ref="C490" ca="1">INDEX(Products!$A$2:$A$9,RANDBETWEEN(1,8))</f>
        <v>Third Jersey</v>
      </c>
      <c r="D490" t="str">
        <f ca="1">_xlfn.XLOOKUP(C490,Products!A:A,Products!B:B)</f>
        <v>Jerseys</v>
      </c>
      <c r="E490" t="str" cm="1">
        <f t="array" aca="1" ref="E490" ca="1">INDEX(Regions!$A$2:$A$7,RANDBETWEEN(1,6))</f>
        <v>Dublin</v>
      </c>
      <c r="F490">
        <f t="shared" ca="1" si="30"/>
        <v>3</v>
      </c>
      <c r="G490">
        <f ca="1">VLOOKUP(C490,Products!$A$2:$C$9,3,FALSE)</f>
        <v>85</v>
      </c>
      <c r="H490">
        <f t="shared" ca="1" si="31"/>
        <v>255</v>
      </c>
    </row>
    <row r="491" spans="1:8" x14ac:dyDescent="0.35">
      <c r="A491">
        <f t="shared" si="28"/>
        <v>1490</v>
      </c>
      <c r="B491" s="2">
        <f t="shared" ca="1" si="29"/>
        <v>45792</v>
      </c>
      <c r="C491" t="str" cm="1">
        <f t="array" aca="1" ref="C491" ca="1">INDEX(Products!$A$2:$A$9,RANDBETWEEN(1,8))</f>
        <v>Scarf</v>
      </c>
      <c r="D491" t="str">
        <f ca="1">_xlfn.XLOOKUP(C491,Products!A:A,Products!B:B)</f>
        <v>Accessories</v>
      </c>
      <c r="E491" t="str" cm="1">
        <f t="array" aca="1" ref="E491" ca="1">INDEX(Regions!$A$2:$A$7,RANDBETWEEN(1,6))</f>
        <v>Limerick</v>
      </c>
      <c r="F491">
        <f t="shared" ca="1" si="30"/>
        <v>2</v>
      </c>
      <c r="G491">
        <f ca="1">VLOOKUP(C491,Products!$A$2:$C$9,3,FALSE)</f>
        <v>20</v>
      </c>
      <c r="H491">
        <f t="shared" ca="1" si="31"/>
        <v>40</v>
      </c>
    </row>
    <row r="492" spans="1:8" x14ac:dyDescent="0.35">
      <c r="A492">
        <f t="shared" si="28"/>
        <v>1491</v>
      </c>
      <c r="B492" s="2">
        <f t="shared" ca="1" si="29"/>
        <v>45795</v>
      </c>
      <c r="C492" t="str" cm="1">
        <f t="array" aca="1" ref="C492" ca="1">INDEX(Products!$A$2:$A$9,RANDBETWEEN(1,8))</f>
        <v>Home Jersey</v>
      </c>
      <c r="D492" t="str">
        <f ca="1">_xlfn.XLOOKUP(C492,Products!A:A,Products!B:B)</f>
        <v>Jerseys</v>
      </c>
      <c r="E492" t="str" cm="1">
        <f t="array" aca="1" ref="E492" ca="1">INDEX(Regions!$A$2:$A$7,RANDBETWEEN(1,6))</f>
        <v>Limerick</v>
      </c>
      <c r="F492">
        <f t="shared" ca="1" si="30"/>
        <v>4</v>
      </c>
      <c r="G492">
        <f ca="1">VLOOKUP(C492,Products!$A$2:$C$9,3,FALSE)</f>
        <v>80</v>
      </c>
      <c r="H492">
        <f t="shared" ca="1" si="31"/>
        <v>320</v>
      </c>
    </row>
    <row r="493" spans="1:8" x14ac:dyDescent="0.35">
      <c r="A493">
        <f t="shared" si="28"/>
        <v>1492</v>
      </c>
      <c r="B493" s="2">
        <f t="shared" ca="1" si="29"/>
        <v>45657</v>
      </c>
      <c r="C493" t="str" cm="1">
        <f t="array" aca="1" ref="C493" ca="1">INDEX(Products!$A$2:$A$9,RANDBETWEEN(1,8))</f>
        <v>Home Jersey</v>
      </c>
      <c r="D493" t="str">
        <f ca="1">_xlfn.XLOOKUP(C493,Products!A:A,Products!B:B)</f>
        <v>Jerseys</v>
      </c>
      <c r="E493" t="str" cm="1">
        <f t="array" aca="1" ref="E493" ca="1">INDEX(Regions!$A$2:$A$7,RANDBETWEEN(1,6))</f>
        <v>Belfast</v>
      </c>
      <c r="F493">
        <f t="shared" ca="1" si="30"/>
        <v>2</v>
      </c>
      <c r="G493">
        <f ca="1">VLOOKUP(C493,Products!$A$2:$C$9,3,FALSE)</f>
        <v>80</v>
      </c>
      <c r="H493">
        <f t="shared" ca="1" si="31"/>
        <v>160</v>
      </c>
    </row>
    <row r="494" spans="1:8" x14ac:dyDescent="0.35">
      <c r="A494">
        <f t="shared" si="28"/>
        <v>1493</v>
      </c>
      <c r="B494" s="2">
        <f t="shared" ca="1" si="29"/>
        <v>45549</v>
      </c>
      <c r="C494" t="str" cm="1">
        <f t="array" aca="1" ref="C494" ca="1">INDEX(Products!$A$2:$A$9,RANDBETWEEN(1,8))</f>
        <v>Jacket</v>
      </c>
      <c r="D494" t="str">
        <f ca="1">_xlfn.XLOOKUP(C494,Products!A:A,Products!B:B)</f>
        <v>Training Wear</v>
      </c>
      <c r="E494" t="str" cm="1">
        <f t="array" aca="1" ref="E494" ca="1">INDEX(Regions!$A$2:$A$7,RANDBETWEEN(1,6))</f>
        <v>Waterford</v>
      </c>
      <c r="F494">
        <f t="shared" ca="1" si="30"/>
        <v>5</v>
      </c>
      <c r="G494">
        <f ca="1">VLOOKUP(C494,Products!$A$2:$C$9,3,FALSE)</f>
        <v>90</v>
      </c>
      <c r="H494">
        <f t="shared" ca="1" si="31"/>
        <v>450</v>
      </c>
    </row>
    <row r="495" spans="1:8" x14ac:dyDescent="0.35">
      <c r="A495">
        <f t="shared" si="28"/>
        <v>1494</v>
      </c>
      <c r="B495" s="2">
        <f t="shared" ca="1" si="29"/>
        <v>45416</v>
      </c>
      <c r="C495" t="str" cm="1">
        <f t="array" aca="1" ref="C495" ca="1">INDEX(Products!$A$2:$A$9,RANDBETWEEN(1,8))</f>
        <v>Home Jersey</v>
      </c>
      <c r="D495" t="str">
        <f ca="1">_xlfn.XLOOKUP(C495,Products!A:A,Products!B:B)</f>
        <v>Jerseys</v>
      </c>
      <c r="E495" t="str" cm="1">
        <f t="array" aca="1" ref="E495" ca="1">INDEX(Regions!$A$2:$A$7,RANDBETWEEN(1,6))</f>
        <v>Waterford</v>
      </c>
      <c r="F495">
        <f t="shared" ca="1" si="30"/>
        <v>1</v>
      </c>
      <c r="G495">
        <f ca="1">VLOOKUP(C495,Products!$A$2:$C$9,3,FALSE)</f>
        <v>80</v>
      </c>
      <c r="H495">
        <f t="shared" ca="1" si="31"/>
        <v>80</v>
      </c>
    </row>
    <row r="496" spans="1:8" x14ac:dyDescent="0.35">
      <c r="A496">
        <f t="shared" si="28"/>
        <v>1495</v>
      </c>
      <c r="B496" s="2">
        <f t="shared" ca="1" si="29"/>
        <v>45596</v>
      </c>
      <c r="C496" t="str" cm="1">
        <f t="array" aca="1" ref="C496" ca="1">INDEX(Products!$A$2:$A$9,RANDBETWEEN(1,8))</f>
        <v>Scarf</v>
      </c>
      <c r="D496" t="str">
        <f ca="1">_xlfn.XLOOKUP(C496,Products!A:A,Products!B:B)</f>
        <v>Accessories</v>
      </c>
      <c r="E496" t="str" cm="1">
        <f t="array" aca="1" ref="E496" ca="1">INDEX(Regions!$A$2:$A$7,RANDBETWEEN(1,6))</f>
        <v>Belfast</v>
      </c>
      <c r="F496">
        <f t="shared" ca="1" si="30"/>
        <v>4</v>
      </c>
      <c r="G496">
        <f ca="1">VLOOKUP(C496,Products!$A$2:$C$9,3,FALSE)</f>
        <v>20</v>
      </c>
      <c r="H496">
        <f t="shared" ca="1" si="31"/>
        <v>80</v>
      </c>
    </row>
    <row r="497" spans="1:8" x14ac:dyDescent="0.35">
      <c r="A497">
        <f t="shared" si="28"/>
        <v>1496</v>
      </c>
      <c r="B497" s="2">
        <f t="shared" ca="1" si="29"/>
        <v>45423</v>
      </c>
      <c r="C497" t="str" cm="1">
        <f t="array" aca="1" ref="C497" ca="1">INDEX(Products!$A$2:$A$9,RANDBETWEEN(1,8))</f>
        <v>Home Jersey</v>
      </c>
      <c r="D497" t="str">
        <f ca="1">_xlfn.XLOOKUP(C497,Products!A:A,Products!B:B)</f>
        <v>Jerseys</v>
      </c>
      <c r="E497" t="str" cm="1">
        <f t="array" aca="1" ref="E497" ca="1">INDEX(Regions!$A$2:$A$7,RANDBETWEEN(1,6))</f>
        <v>Belfast</v>
      </c>
      <c r="F497">
        <f t="shared" ca="1" si="30"/>
        <v>1</v>
      </c>
      <c r="G497">
        <f ca="1">VLOOKUP(C497,Products!$A$2:$C$9,3,FALSE)</f>
        <v>80</v>
      </c>
      <c r="H497">
        <f t="shared" ca="1" si="31"/>
        <v>80</v>
      </c>
    </row>
    <row r="498" spans="1:8" x14ac:dyDescent="0.35">
      <c r="A498">
        <f t="shared" si="28"/>
        <v>1497</v>
      </c>
      <c r="B498" s="2">
        <f t="shared" ca="1" si="29"/>
        <v>45936</v>
      </c>
      <c r="C498" t="str" cm="1">
        <f t="array" aca="1" ref="C498" ca="1">INDEX(Products!$A$2:$A$9,RANDBETWEEN(1,8))</f>
        <v>Away Jersey</v>
      </c>
      <c r="D498" t="str">
        <f ca="1">_xlfn.XLOOKUP(C498,Products!A:A,Products!B:B)</f>
        <v>Jerseys</v>
      </c>
      <c r="E498" t="str" cm="1">
        <f t="array" aca="1" ref="E498" ca="1">INDEX(Regions!$A$2:$A$7,RANDBETWEEN(1,6))</f>
        <v>Limerick</v>
      </c>
      <c r="F498">
        <f t="shared" ca="1" si="30"/>
        <v>1</v>
      </c>
      <c r="G498">
        <f ca="1">VLOOKUP(C498,Products!$A$2:$C$9,3,FALSE)</f>
        <v>80</v>
      </c>
      <c r="H498">
        <f t="shared" ca="1" si="31"/>
        <v>80</v>
      </c>
    </row>
    <row r="499" spans="1:8" x14ac:dyDescent="0.35">
      <c r="A499">
        <f t="shared" si="28"/>
        <v>1498</v>
      </c>
      <c r="B499" s="2">
        <f t="shared" ca="1" si="29"/>
        <v>45369</v>
      </c>
      <c r="C499" t="str" cm="1">
        <f t="array" aca="1" ref="C499" ca="1">INDEX(Products!$A$2:$A$9,RANDBETWEEN(1,8))</f>
        <v>Training Top</v>
      </c>
      <c r="D499" t="str">
        <f ca="1">_xlfn.XLOOKUP(C499,Products!A:A,Products!B:B)</f>
        <v>Training Wear</v>
      </c>
      <c r="E499" t="str" cm="1">
        <f t="array" aca="1" ref="E499" ca="1">INDEX(Regions!$A$2:$A$7,RANDBETWEEN(1,6))</f>
        <v>Belfast</v>
      </c>
      <c r="F499">
        <f t="shared" ca="1" si="30"/>
        <v>2</v>
      </c>
      <c r="G499">
        <f ca="1">VLOOKUP(C499,Products!$A$2:$C$9,3,FALSE)</f>
        <v>55</v>
      </c>
      <c r="H499">
        <f t="shared" ca="1" si="31"/>
        <v>110</v>
      </c>
    </row>
    <row r="500" spans="1:8" x14ac:dyDescent="0.35">
      <c r="A500">
        <f t="shared" si="28"/>
        <v>1499</v>
      </c>
      <c r="B500" s="2">
        <f t="shared" ca="1" si="29"/>
        <v>45883</v>
      </c>
      <c r="C500" t="str" cm="1">
        <f t="array" aca="1" ref="C500" ca="1">INDEX(Products!$A$2:$A$9,RANDBETWEEN(1,8))</f>
        <v>Away Jersey</v>
      </c>
      <c r="D500" t="str">
        <f ca="1">_xlfn.XLOOKUP(C500,Products!A:A,Products!B:B)</f>
        <v>Jerseys</v>
      </c>
      <c r="E500" t="str" cm="1">
        <f t="array" aca="1" ref="E500" ca="1">INDEX(Regions!$A$2:$A$7,RANDBETWEEN(1,6))</f>
        <v>Galway</v>
      </c>
      <c r="F500">
        <f t="shared" ca="1" si="30"/>
        <v>4</v>
      </c>
      <c r="G500">
        <f ca="1">VLOOKUP(C500,Products!$A$2:$C$9,3,FALSE)</f>
        <v>80</v>
      </c>
      <c r="H500">
        <f t="shared" ca="1" si="31"/>
        <v>320</v>
      </c>
    </row>
    <row r="501" spans="1:8" x14ac:dyDescent="0.35">
      <c r="A501">
        <f t="shared" si="28"/>
        <v>1500</v>
      </c>
      <c r="B501" s="2">
        <f t="shared" ca="1" si="29"/>
        <v>45707</v>
      </c>
      <c r="C501" t="str" cm="1">
        <f t="array" aca="1" ref="C501" ca="1">INDEX(Products!$A$2:$A$9,RANDBETWEEN(1,8))</f>
        <v>Hat</v>
      </c>
      <c r="D501" t="str">
        <f ca="1">_xlfn.XLOOKUP(C501,Products!A:A,Products!B:B)</f>
        <v>Accessories</v>
      </c>
      <c r="E501" t="str" cm="1">
        <f t="array" aca="1" ref="E501" ca="1">INDEX(Regions!$A$2:$A$7,RANDBETWEEN(1,6))</f>
        <v>Waterford</v>
      </c>
      <c r="F501">
        <f t="shared" ca="1" si="30"/>
        <v>4</v>
      </c>
      <c r="G501">
        <f ca="1">VLOOKUP(C501,Products!$A$2:$C$9,3,FALSE)</f>
        <v>25</v>
      </c>
      <c r="H501">
        <f t="shared" ca="1" si="31"/>
        <v>100</v>
      </c>
    </row>
    <row r="502" spans="1:8" x14ac:dyDescent="0.35">
      <c r="A502">
        <f t="shared" si="28"/>
        <v>1501</v>
      </c>
      <c r="B502" s="2">
        <f t="shared" ca="1" si="29"/>
        <v>45449</v>
      </c>
      <c r="C502" t="str" cm="1">
        <f t="array" aca="1" ref="C502" ca="1">INDEX(Products!$A$2:$A$9,RANDBETWEEN(1,8))</f>
        <v>Hat</v>
      </c>
      <c r="D502" t="str">
        <f ca="1">_xlfn.XLOOKUP(C502,Products!A:A,Products!B:B)</f>
        <v>Accessories</v>
      </c>
      <c r="E502" t="str" cm="1">
        <f t="array" aca="1" ref="E502" ca="1">INDEX(Regions!$A$2:$A$7,RANDBETWEEN(1,6))</f>
        <v>Limerick</v>
      </c>
      <c r="F502">
        <f t="shared" ca="1" si="30"/>
        <v>5</v>
      </c>
      <c r="G502">
        <f ca="1">VLOOKUP(C502,Products!$A$2:$C$9,3,FALSE)</f>
        <v>25</v>
      </c>
      <c r="H502">
        <f t="shared" ca="1" si="31"/>
        <v>125</v>
      </c>
    </row>
    <row r="503" spans="1:8" x14ac:dyDescent="0.35">
      <c r="A503">
        <f t="shared" si="28"/>
        <v>1502</v>
      </c>
      <c r="B503" s="2">
        <f t="shared" ca="1" si="29"/>
        <v>45429</v>
      </c>
      <c r="C503" t="str" cm="1">
        <f t="array" aca="1" ref="C503" ca="1">INDEX(Products!$A$2:$A$9,RANDBETWEEN(1,8))</f>
        <v>Third Jersey</v>
      </c>
      <c r="D503" t="str">
        <f ca="1">_xlfn.XLOOKUP(C503,Products!A:A,Products!B:B)</f>
        <v>Jerseys</v>
      </c>
      <c r="E503" t="str" cm="1">
        <f t="array" aca="1" ref="E503" ca="1">INDEX(Regions!$A$2:$A$7,RANDBETWEEN(1,6))</f>
        <v>Waterford</v>
      </c>
      <c r="F503">
        <f t="shared" ca="1" si="30"/>
        <v>5</v>
      </c>
      <c r="G503">
        <f ca="1">VLOOKUP(C503,Products!$A$2:$C$9,3,FALSE)</f>
        <v>85</v>
      </c>
      <c r="H503">
        <f t="shared" ca="1" si="31"/>
        <v>425</v>
      </c>
    </row>
    <row r="504" spans="1:8" x14ac:dyDescent="0.35">
      <c r="A504">
        <f t="shared" si="28"/>
        <v>1503</v>
      </c>
      <c r="B504" s="2">
        <f t="shared" ca="1" si="29"/>
        <v>45557</v>
      </c>
      <c r="C504" t="str" cm="1">
        <f t="array" aca="1" ref="C504" ca="1">INDEX(Products!$A$2:$A$9,RANDBETWEEN(1,8))</f>
        <v>Scarf</v>
      </c>
      <c r="D504" t="str">
        <f ca="1">_xlfn.XLOOKUP(C504,Products!A:A,Products!B:B)</f>
        <v>Accessories</v>
      </c>
      <c r="E504" t="str" cm="1">
        <f t="array" aca="1" ref="E504" ca="1">INDEX(Regions!$A$2:$A$7,RANDBETWEEN(1,6))</f>
        <v>Limerick</v>
      </c>
      <c r="F504">
        <f t="shared" ca="1" si="30"/>
        <v>2</v>
      </c>
      <c r="G504">
        <f ca="1">VLOOKUP(C504,Products!$A$2:$C$9,3,FALSE)</f>
        <v>20</v>
      </c>
      <c r="H504">
        <f t="shared" ca="1" si="31"/>
        <v>40</v>
      </c>
    </row>
    <row r="505" spans="1:8" x14ac:dyDescent="0.35">
      <c r="A505">
        <f t="shared" si="28"/>
        <v>1504</v>
      </c>
      <c r="B505" s="2">
        <f t="shared" ca="1" si="29"/>
        <v>45469</v>
      </c>
      <c r="C505" t="str" cm="1">
        <f t="array" aca="1" ref="C505" ca="1">INDEX(Products!$A$2:$A$9,RANDBETWEEN(1,8))</f>
        <v>Third Jersey</v>
      </c>
      <c r="D505" t="str">
        <f ca="1">_xlfn.XLOOKUP(C505,Products!A:A,Products!B:B)</f>
        <v>Jerseys</v>
      </c>
      <c r="E505" t="str" cm="1">
        <f t="array" aca="1" ref="E505" ca="1">INDEX(Regions!$A$2:$A$7,RANDBETWEEN(1,6))</f>
        <v>Dublin</v>
      </c>
      <c r="F505">
        <f t="shared" ca="1" si="30"/>
        <v>3</v>
      </c>
      <c r="G505">
        <f ca="1">VLOOKUP(C505,Products!$A$2:$C$9,3,FALSE)</f>
        <v>85</v>
      </c>
      <c r="H505">
        <f t="shared" ca="1" si="31"/>
        <v>255</v>
      </c>
    </row>
    <row r="506" spans="1:8" x14ac:dyDescent="0.35">
      <c r="A506">
        <f t="shared" si="28"/>
        <v>1505</v>
      </c>
      <c r="B506" s="2">
        <f t="shared" ca="1" si="29"/>
        <v>45604</v>
      </c>
      <c r="C506" t="str" cm="1">
        <f t="array" aca="1" ref="C506" ca="1">INDEX(Products!$A$2:$A$9,RANDBETWEEN(1,8))</f>
        <v>Third Jersey</v>
      </c>
      <c r="D506" t="str">
        <f ca="1">_xlfn.XLOOKUP(C506,Products!A:A,Products!B:B)</f>
        <v>Jerseys</v>
      </c>
      <c r="E506" t="str" cm="1">
        <f t="array" aca="1" ref="E506" ca="1">INDEX(Regions!$A$2:$A$7,RANDBETWEEN(1,6))</f>
        <v>Waterford</v>
      </c>
      <c r="F506">
        <f t="shared" ca="1" si="30"/>
        <v>1</v>
      </c>
      <c r="G506">
        <f ca="1">VLOOKUP(C506,Products!$A$2:$C$9,3,FALSE)</f>
        <v>85</v>
      </c>
      <c r="H506">
        <f t="shared" ca="1" si="31"/>
        <v>85</v>
      </c>
    </row>
    <row r="507" spans="1:8" x14ac:dyDescent="0.35">
      <c r="A507">
        <f t="shared" si="28"/>
        <v>1506</v>
      </c>
      <c r="B507" s="2">
        <f t="shared" ca="1" si="29"/>
        <v>45810</v>
      </c>
      <c r="C507" t="str" cm="1">
        <f t="array" aca="1" ref="C507" ca="1">INDEX(Products!$A$2:$A$9,RANDBETWEEN(1,8))</f>
        <v>Jacket</v>
      </c>
      <c r="D507" t="str">
        <f ca="1">_xlfn.XLOOKUP(C507,Products!A:A,Products!B:B)</f>
        <v>Training Wear</v>
      </c>
      <c r="E507" t="str" cm="1">
        <f t="array" aca="1" ref="E507" ca="1">INDEX(Regions!$A$2:$A$7,RANDBETWEEN(1,6))</f>
        <v>Dublin</v>
      </c>
      <c r="F507">
        <f t="shared" ca="1" si="30"/>
        <v>3</v>
      </c>
      <c r="G507">
        <f ca="1">VLOOKUP(C507,Products!$A$2:$C$9,3,FALSE)</f>
        <v>90</v>
      </c>
      <c r="H507">
        <f t="shared" ca="1" si="31"/>
        <v>270</v>
      </c>
    </row>
    <row r="508" spans="1:8" x14ac:dyDescent="0.35">
      <c r="A508">
        <f t="shared" si="28"/>
        <v>1507</v>
      </c>
      <c r="B508" s="2">
        <f t="shared" ca="1" si="29"/>
        <v>45972</v>
      </c>
      <c r="C508" t="str" cm="1">
        <f t="array" aca="1" ref="C508" ca="1">INDEX(Products!$A$2:$A$9,RANDBETWEEN(1,8))</f>
        <v>Training Top</v>
      </c>
      <c r="D508" t="str">
        <f ca="1">_xlfn.XLOOKUP(C508,Products!A:A,Products!B:B)</f>
        <v>Training Wear</v>
      </c>
      <c r="E508" t="str" cm="1">
        <f t="array" aca="1" ref="E508" ca="1">INDEX(Regions!$A$2:$A$7,RANDBETWEEN(1,6))</f>
        <v>Belfast</v>
      </c>
      <c r="F508">
        <f t="shared" ca="1" si="30"/>
        <v>1</v>
      </c>
      <c r="G508">
        <f ca="1">VLOOKUP(C508,Products!$A$2:$C$9,3,FALSE)</f>
        <v>55</v>
      </c>
      <c r="H508">
        <f t="shared" ca="1" si="31"/>
        <v>55</v>
      </c>
    </row>
    <row r="509" spans="1:8" x14ac:dyDescent="0.35">
      <c r="A509">
        <f t="shared" si="28"/>
        <v>1508</v>
      </c>
      <c r="B509" s="2">
        <f t="shared" ca="1" si="29"/>
        <v>45863</v>
      </c>
      <c r="C509" t="str" cm="1">
        <f t="array" aca="1" ref="C509" ca="1">INDEX(Products!$A$2:$A$9,RANDBETWEEN(1,8))</f>
        <v>Football</v>
      </c>
      <c r="D509" t="str">
        <f ca="1">_xlfn.XLOOKUP(C509,Products!A:A,Products!B:B)</f>
        <v>Equipment</v>
      </c>
      <c r="E509" t="str" cm="1">
        <f t="array" aca="1" ref="E509" ca="1">INDEX(Regions!$A$2:$A$7,RANDBETWEEN(1,6))</f>
        <v>Cork</v>
      </c>
      <c r="F509">
        <f t="shared" ca="1" si="30"/>
        <v>4</v>
      </c>
      <c r="G509">
        <f ca="1">VLOOKUP(C509,Products!$A$2:$C$9,3,FALSE)</f>
        <v>30</v>
      </c>
      <c r="H509">
        <f t="shared" ca="1" si="31"/>
        <v>120</v>
      </c>
    </row>
    <row r="510" spans="1:8" x14ac:dyDescent="0.35">
      <c r="A510">
        <f t="shared" si="28"/>
        <v>1509</v>
      </c>
      <c r="B510" s="2">
        <f t="shared" ca="1" si="29"/>
        <v>45839</v>
      </c>
      <c r="C510" t="str" cm="1">
        <f t="array" aca="1" ref="C510" ca="1">INDEX(Products!$A$2:$A$9,RANDBETWEEN(1,8))</f>
        <v>Away Jersey</v>
      </c>
      <c r="D510" t="str">
        <f ca="1">_xlfn.XLOOKUP(C510,Products!A:A,Products!B:B)</f>
        <v>Jerseys</v>
      </c>
      <c r="E510" t="str" cm="1">
        <f t="array" aca="1" ref="E510" ca="1">INDEX(Regions!$A$2:$A$7,RANDBETWEEN(1,6))</f>
        <v>Limerick</v>
      </c>
      <c r="F510">
        <f t="shared" ca="1" si="30"/>
        <v>2</v>
      </c>
      <c r="G510">
        <f ca="1">VLOOKUP(C510,Products!$A$2:$C$9,3,FALSE)</f>
        <v>80</v>
      </c>
      <c r="H510">
        <f t="shared" ca="1" si="31"/>
        <v>160</v>
      </c>
    </row>
    <row r="511" spans="1:8" x14ac:dyDescent="0.35">
      <c r="A511">
        <f t="shared" si="28"/>
        <v>1510</v>
      </c>
      <c r="B511" s="2">
        <f t="shared" ca="1" si="29"/>
        <v>45787</v>
      </c>
      <c r="C511" t="str" cm="1">
        <f t="array" aca="1" ref="C511" ca="1">INDEX(Products!$A$2:$A$9,RANDBETWEEN(1,8))</f>
        <v>Scarf</v>
      </c>
      <c r="D511" t="str">
        <f ca="1">_xlfn.XLOOKUP(C511,Products!A:A,Products!B:B)</f>
        <v>Accessories</v>
      </c>
      <c r="E511" t="str" cm="1">
        <f t="array" aca="1" ref="E511" ca="1">INDEX(Regions!$A$2:$A$7,RANDBETWEEN(1,6))</f>
        <v>Cork</v>
      </c>
      <c r="F511">
        <f t="shared" ca="1" si="30"/>
        <v>2</v>
      </c>
      <c r="G511">
        <f ca="1">VLOOKUP(C511,Products!$A$2:$C$9,3,FALSE)</f>
        <v>20</v>
      </c>
      <c r="H511">
        <f t="shared" ca="1" si="31"/>
        <v>40</v>
      </c>
    </row>
    <row r="512" spans="1:8" x14ac:dyDescent="0.35">
      <c r="A512">
        <f t="shared" si="28"/>
        <v>1511</v>
      </c>
      <c r="B512" s="2">
        <f t="shared" ca="1" si="29"/>
        <v>45967</v>
      </c>
      <c r="C512" t="str" cm="1">
        <f t="array" aca="1" ref="C512" ca="1">INDEX(Products!$A$2:$A$9,RANDBETWEEN(1,8))</f>
        <v>Away Jersey</v>
      </c>
      <c r="D512" t="str">
        <f ca="1">_xlfn.XLOOKUP(C512,Products!A:A,Products!B:B)</f>
        <v>Jerseys</v>
      </c>
      <c r="E512" t="str" cm="1">
        <f t="array" aca="1" ref="E512" ca="1">INDEX(Regions!$A$2:$A$7,RANDBETWEEN(1,6))</f>
        <v>Waterford</v>
      </c>
      <c r="F512">
        <f t="shared" ca="1" si="30"/>
        <v>3</v>
      </c>
      <c r="G512">
        <f ca="1">VLOOKUP(C512,Products!$A$2:$C$9,3,FALSE)</f>
        <v>80</v>
      </c>
      <c r="H512">
        <f t="shared" ca="1" si="31"/>
        <v>240</v>
      </c>
    </row>
    <row r="513" spans="1:8" x14ac:dyDescent="0.35">
      <c r="A513">
        <f t="shared" si="28"/>
        <v>1512</v>
      </c>
      <c r="B513" s="2">
        <f t="shared" ca="1" si="29"/>
        <v>45716</v>
      </c>
      <c r="C513" t="str" cm="1">
        <f t="array" aca="1" ref="C513" ca="1">INDEX(Products!$A$2:$A$9,RANDBETWEEN(1,8))</f>
        <v>Football</v>
      </c>
      <c r="D513" t="str">
        <f ca="1">_xlfn.XLOOKUP(C513,Products!A:A,Products!B:B)</f>
        <v>Equipment</v>
      </c>
      <c r="E513" t="str" cm="1">
        <f t="array" aca="1" ref="E513" ca="1">INDEX(Regions!$A$2:$A$7,RANDBETWEEN(1,6))</f>
        <v>Limerick</v>
      </c>
      <c r="F513">
        <f t="shared" ca="1" si="30"/>
        <v>4</v>
      </c>
      <c r="G513">
        <f ca="1">VLOOKUP(C513,Products!$A$2:$C$9,3,FALSE)</f>
        <v>30</v>
      </c>
      <c r="H513">
        <f t="shared" ca="1" si="31"/>
        <v>120</v>
      </c>
    </row>
    <row r="514" spans="1:8" x14ac:dyDescent="0.35">
      <c r="A514">
        <f t="shared" si="28"/>
        <v>1513</v>
      </c>
      <c r="B514" s="2">
        <f t="shared" ca="1" si="29"/>
        <v>45789</v>
      </c>
      <c r="C514" t="str" cm="1">
        <f t="array" aca="1" ref="C514" ca="1">INDEX(Products!$A$2:$A$9,RANDBETWEEN(1,8))</f>
        <v>Football</v>
      </c>
      <c r="D514" t="str">
        <f ca="1">_xlfn.XLOOKUP(C514,Products!A:A,Products!B:B)</f>
        <v>Equipment</v>
      </c>
      <c r="E514" t="str" cm="1">
        <f t="array" aca="1" ref="E514" ca="1">INDEX(Regions!$A$2:$A$7,RANDBETWEEN(1,6))</f>
        <v>Dublin</v>
      </c>
      <c r="F514">
        <f t="shared" ca="1" si="30"/>
        <v>2</v>
      </c>
      <c r="G514">
        <f ca="1">VLOOKUP(C514,Products!$A$2:$C$9,3,FALSE)</f>
        <v>30</v>
      </c>
      <c r="H514">
        <f t="shared" ca="1" si="31"/>
        <v>60</v>
      </c>
    </row>
    <row r="515" spans="1:8" x14ac:dyDescent="0.35">
      <c r="A515">
        <f t="shared" ref="A515:A578" si="32">ROW()+999</f>
        <v>1514</v>
      </c>
      <c r="B515" s="2">
        <f t="shared" ref="B515:B578" ca="1" si="33">DATE(2024,1,1)+RANDBETWEEN(0,730)</f>
        <v>45835</v>
      </c>
      <c r="C515" t="str" cm="1">
        <f t="array" aca="1" ref="C515" ca="1">INDEX(Products!$A$2:$A$9,RANDBETWEEN(1,8))</f>
        <v>Jacket</v>
      </c>
      <c r="D515" t="str">
        <f ca="1">_xlfn.XLOOKUP(C515,Products!A:A,Products!B:B)</f>
        <v>Training Wear</v>
      </c>
      <c r="E515" t="str" cm="1">
        <f t="array" aca="1" ref="E515" ca="1">INDEX(Regions!$A$2:$A$7,RANDBETWEEN(1,6))</f>
        <v>Limerick</v>
      </c>
      <c r="F515">
        <f t="shared" ref="F515:F578" ca="1" si="34">RANDBETWEEN(1,5)</f>
        <v>4</v>
      </c>
      <c r="G515">
        <f ca="1">VLOOKUP(C515,Products!$A$2:$C$9,3,FALSE)</f>
        <v>90</v>
      </c>
      <c r="H515">
        <f t="shared" ref="H515:H578" ca="1" si="35">F515*G515</f>
        <v>360</v>
      </c>
    </row>
    <row r="516" spans="1:8" x14ac:dyDescent="0.35">
      <c r="A516">
        <f t="shared" si="32"/>
        <v>1515</v>
      </c>
      <c r="B516" s="2">
        <f t="shared" ca="1" si="33"/>
        <v>46022</v>
      </c>
      <c r="C516" t="str" cm="1">
        <f t="array" aca="1" ref="C516" ca="1">INDEX(Products!$A$2:$A$9,RANDBETWEEN(1,8))</f>
        <v>Hat</v>
      </c>
      <c r="D516" t="str">
        <f ca="1">_xlfn.XLOOKUP(C516,Products!A:A,Products!B:B)</f>
        <v>Accessories</v>
      </c>
      <c r="E516" t="str" cm="1">
        <f t="array" aca="1" ref="E516" ca="1">INDEX(Regions!$A$2:$A$7,RANDBETWEEN(1,6))</f>
        <v>Dublin</v>
      </c>
      <c r="F516">
        <f t="shared" ca="1" si="34"/>
        <v>5</v>
      </c>
      <c r="G516">
        <f ca="1">VLOOKUP(C516,Products!$A$2:$C$9,3,FALSE)</f>
        <v>25</v>
      </c>
      <c r="H516">
        <f t="shared" ca="1" si="35"/>
        <v>125</v>
      </c>
    </row>
    <row r="517" spans="1:8" x14ac:dyDescent="0.35">
      <c r="A517">
        <f t="shared" si="32"/>
        <v>1516</v>
      </c>
      <c r="B517" s="2">
        <f t="shared" ca="1" si="33"/>
        <v>45955</v>
      </c>
      <c r="C517" t="str" cm="1">
        <f t="array" aca="1" ref="C517" ca="1">INDEX(Products!$A$2:$A$9,RANDBETWEEN(1,8))</f>
        <v>Home Jersey</v>
      </c>
      <c r="D517" t="str">
        <f ca="1">_xlfn.XLOOKUP(C517,Products!A:A,Products!B:B)</f>
        <v>Jerseys</v>
      </c>
      <c r="E517" t="str" cm="1">
        <f t="array" aca="1" ref="E517" ca="1">INDEX(Regions!$A$2:$A$7,RANDBETWEEN(1,6))</f>
        <v>Waterford</v>
      </c>
      <c r="F517">
        <f t="shared" ca="1" si="34"/>
        <v>4</v>
      </c>
      <c r="G517">
        <f ca="1">VLOOKUP(C517,Products!$A$2:$C$9,3,FALSE)</f>
        <v>80</v>
      </c>
      <c r="H517">
        <f t="shared" ca="1" si="35"/>
        <v>320</v>
      </c>
    </row>
    <row r="518" spans="1:8" x14ac:dyDescent="0.35">
      <c r="A518">
        <f t="shared" si="32"/>
        <v>1517</v>
      </c>
      <c r="B518" s="2">
        <f t="shared" ca="1" si="33"/>
        <v>45989</v>
      </c>
      <c r="C518" t="str" cm="1">
        <f t="array" aca="1" ref="C518" ca="1">INDEX(Products!$A$2:$A$9,RANDBETWEEN(1,8))</f>
        <v>Home Jersey</v>
      </c>
      <c r="D518" t="str">
        <f ca="1">_xlfn.XLOOKUP(C518,Products!A:A,Products!B:B)</f>
        <v>Jerseys</v>
      </c>
      <c r="E518" t="str" cm="1">
        <f t="array" aca="1" ref="E518" ca="1">INDEX(Regions!$A$2:$A$7,RANDBETWEEN(1,6))</f>
        <v>Galway</v>
      </c>
      <c r="F518">
        <f t="shared" ca="1" si="34"/>
        <v>1</v>
      </c>
      <c r="G518">
        <f ca="1">VLOOKUP(C518,Products!$A$2:$C$9,3,FALSE)</f>
        <v>80</v>
      </c>
      <c r="H518">
        <f t="shared" ca="1" si="35"/>
        <v>80</v>
      </c>
    </row>
    <row r="519" spans="1:8" x14ac:dyDescent="0.35">
      <c r="A519">
        <f t="shared" si="32"/>
        <v>1518</v>
      </c>
      <c r="B519" s="2">
        <f t="shared" ca="1" si="33"/>
        <v>45952</v>
      </c>
      <c r="C519" t="str" cm="1">
        <f t="array" aca="1" ref="C519" ca="1">INDEX(Products!$A$2:$A$9,RANDBETWEEN(1,8))</f>
        <v>Third Jersey</v>
      </c>
      <c r="D519" t="str">
        <f ca="1">_xlfn.XLOOKUP(C519,Products!A:A,Products!B:B)</f>
        <v>Jerseys</v>
      </c>
      <c r="E519" t="str" cm="1">
        <f t="array" aca="1" ref="E519" ca="1">INDEX(Regions!$A$2:$A$7,RANDBETWEEN(1,6))</f>
        <v>Dublin</v>
      </c>
      <c r="F519">
        <f t="shared" ca="1" si="34"/>
        <v>3</v>
      </c>
      <c r="G519">
        <f ca="1">VLOOKUP(C519,Products!$A$2:$C$9,3,FALSE)</f>
        <v>85</v>
      </c>
      <c r="H519">
        <f t="shared" ca="1" si="35"/>
        <v>255</v>
      </c>
    </row>
    <row r="520" spans="1:8" x14ac:dyDescent="0.35">
      <c r="A520">
        <f t="shared" si="32"/>
        <v>1519</v>
      </c>
      <c r="B520" s="2">
        <f t="shared" ca="1" si="33"/>
        <v>45821</v>
      </c>
      <c r="C520" t="str" cm="1">
        <f t="array" aca="1" ref="C520" ca="1">INDEX(Products!$A$2:$A$9,RANDBETWEEN(1,8))</f>
        <v>Scarf</v>
      </c>
      <c r="D520" t="str">
        <f ca="1">_xlfn.XLOOKUP(C520,Products!A:A,Products!B:B)</f>
        <v>Accessories</v>
      </c>
      <c r="E520" t="str" cm="1">
        <f t="array" aca="1" ref="E520" ca="1">INDEX(Regions!$A$2:$A$7,RANDBETWEEN(1,6))</f>
        <v>Limerick</v>
      </c>
      <c r="F520">
        <f t="shared" ca="1" si="34"/>
        <v>5</v>
      </c>
      <c r="G520">
        <f ca="1">VLOOKUP(C520,Products!$A$2:$C$9,3,FALSE)</f>
        <v>20</v>
      </c>
      <c r="H520">
        <f t="shared" ca="1" si="35"/>
        <v>100</v>
      </c>
    </row>
    <row r="521" spans="1:8" x14ac:dyDescent="0.35">
      <c r="A521">
        <f t="shared" si="32"/>
        <v>1520</v>
      </c>
      <c r="B521" s="2">
        <f t="shared" ca="1" si="33"/>
        <v>45806</v>
      </c>
      <c r="C521" t="str" cm="1">
        <f t="array" aca="1" ref="C521" ca="1">INDEX(Products!$A$2:$A$9,RANDBETWEEN(1,8))</f>
        <v>Hat</v>
      </c>
      <c r="D521" t="str">
        <f ca="1">_xlfn.XLOOKUP(C521,Products!A:A,Products!B:B)</f>
        <v>Accessories</v>
      </c>
      <c r="E521" t="str" cm="1">
        <f t="array" aca="1" ref="E521" ca="1">INDEX(Regions!$A$2:$A$7,RANDBETWEEN(1,6))</f>
        <v>Waterford</v>
      </c>
      <c r="F521">
        <f t="shared" ca="1" si="34"/>
        <v>4</v>
      </c>
      <c r="G521">
        <f ca="1">VLOOKUP(C521,Products!$A$2:$C$9,3,FALSE)</f>
        <v>25</v>
      </c>
      <c r="H521">
        <f t="shared" ca="1" si="35"/>
        <v>100</v>
      </c>
    </row>
    <row r="522" spans="1:8" x14ac:dyDescent="0.35">
      <c r="A522">
        <f t="shared" si="32"/>
        <v>1521</v>
      </c>
      <c r="B522" s="2">
        <f t="shared" ca="1" si="33"/>
        <v>45727</v>
      </c>
      <c r="C522" t="str" cm="1">
        <f t="array" aca="1" ref="C522" ca="1">INDEX(Products!$A$2:$A$9,RANDBETWEEN(1,8))</f>
        <v>Hat</v>
      </c>
      <c r="D522" t="str">
        <f ca="1">_xlfn.XLOOKUP(C522,Products!A:A,Products!B:B)</f>
        <v>Accessories</v>
      </c>
      <c r="E522" t="str" cm="1">
        <f t="array" aca="1" ref="E522" ca="1">INDEX(Regions!$A$2:$A$7,RANDBETWEEN(1,6))</f>
        <v>Cork</v>
      </c>
      <c r="F522">
        <f t="shared" ca="1" si="34"/>
        <v>4</v>
      </c>
      <c r="G522">
        <f ca="1">VLOOKUP(C522,Products!$A$2:$C$9,3,FALSE)</f>
        <v>25</v>
      </c>
      <c r="H522">
        <f t="shared" ca="1" si="35"/>
        <v>100</v>
      </c>
    </row>
    <row r="523" spans="1:8" x14ac:dyDescent="0.35">
      <c r="A523">
        <f t="shared" si="32"/>
        <v>1522</v>
      </c>
      <c r="B523" s="2">
        <f t="shared" ca="1" si="33"/>
        <v>45667</v>
      </c>
      <c r="C523" t="str" cm="1">
        <f t="array" aca="1" ref="C523" ca="1">INDEX(Products!$A$2:$A$9,RANDBETWEEN(1,8))</f>
        <v>Training Top</v>
      </c>
      <c r="D523" t="str">
        <f ca="1">_xlfn.XLOOKUP(C523,Products!A:A,Products!B:B)</f>
        <v>Training Wear</v>
      </c>
      <c r="E523" t="str" cm="1">
        <f t="array" aca="1" ref="E523" ca="1">INDEX(Regions!$A$2:$A$7,RANDBETWEEN(1,6))</f>
        <v>Cork</v>
      </c>
      <c r="F523">
        <f t="shared" ca="1" si="34"/>
        <v>4</v>
      </c>
      <c r="G523">
        <f ca="1">VLOOKUP(C523,Products!$A$2:$C$9,3,FALSE)</f>
        <v>55</v>
      </c>
      <c r="H523">
        <f t="shared" ca="1" si="35"/>
        <v>220</v>
      </c>
    </row>
    <row r="524" spans="1:8" x14ac:dyDescent="0.35">
      <c r="A524">
        <f t="shared" si="32"/>
        <v>1523</v>
      </c>
      <c r="B524" s="2">
        <f t="shared" ca="1" si="33"/>
        <v>45409</v>
      </c>
      <c r="C524" t="str" cm="1">
        <f t="array" aca="1" ref="C524" ca="1">INDEX(Products!$A$2:$A$9,RANDBETWEEN(1,8))</f>
        <v>Football</v>
      </c>
      <c r="D524" t="str">
        <f ca="1">_xlfn.XLOOKUP(C524,Products!A:A,Products!B:B)</f>
        <v>Equipment</v>
      </c>
      <c r="E524" t="str" cm="1">
        <f t="array" aca="1" ref="E524" ca="1">INDEX(Regions!$A$2:$A$7,RANDBETWEEN(1,6))</f>
        <v>Cork</v>
      </c>
      <c r="F524">
        <f t="shared" ca="1" si="34"/>
        <v>3</v>
      </c>
      <c r="G524">
        <f ca="1">VLOOKUP(C524,Products!$A$2:$C$9,3,FALSE)</f>
        <v>30</v>
      </c>
      <c r="H524">
        <f t="shared" ca="1" si="35"/>
        <v>90</v>
      </c>
    </row>
    <row r="525" spans="1:8" x14ac:dyDescent="0.35">
      <c r="A525">
        <f t="shared" si="32"/>
        <v>1524</v>
      </c>
      <c r="B525" s="2">
        <f t="shared" ca="1" si="33"/>
        <v>45629</v>
      </c>
      <c r="C525" t="str" cm="1">
        <f t="array" aca="1" ref="C525" ca="1">INDEX(Products!$A$2:$A$9,RANDBETWEEN(1,8))</f>
        <v>Third Jersey</v>
      </c>
      <c r="D525" t="str">
        <f ca="1">_xlfn.XLOOKUP(C525,Products!A:A,Products!B:B)</f>
        <v>Jerseys</v>
      </c>
      <c r="E525" t="str" cm="1">
        <f t="array" aca="1" ref="E525" ca="1">INDEX(Regions!$A$2:$A$7,RANDBETWEEN(1,6))</f>
        <v>Belfast</v>
      </c>
      <c r="F525">
        <f t="shared" ca="1" si="34"/>
        <v>4</v>
      </c>
      <c r="G525">
        <f ca="1">VLOOKUP(C525,Products!$A$2:$C$9,3,FALSE)</f>
        <v>85</v>
      </c>
      <c r="H525">
        <f t="shared" ca="1" si="35"/>
        <v>340</v>
      </c>
    </row>
    <row r="526" spans="1:8" x14ac:dyDescent="0.35">
      <c r="A526">
        <f t="shared" si="32"/>
        <v>1525</v>
      </c>
      <c r="B526" s="2">
        <f t="shared" ca="1" si="33"/>
        <v>45508</v>
      </c>
      <c r="C526" t="str" cm="1">
        <f t="array" aca="1" ref="C526" ca="1">INDEX(Products!$A$2:$A$9,RANDBETWEEN(1,8))</f>
        <v>Away Jersey</v>
      </c>
      <c r="D526" t="str">
        <f ca="1">_xlfn.XLOOKUP(C526,Products!A:A,Products!B:B)</f>
        <v>Jerseys</v>
      </c>
      <c r="E526" t="str" cm="1">
        <f t="array" aca="1" ref="E526" ca="1">INDEX(Regions!$A$2:$A$7,RANDBETWEEN(1,6))</f>
        <v>Limerick</v>
      </c>
      <c r="F526">
        <f t="shared" ca="1" si="34"/>
        <v>3</v>
      </c>
      <c r="G526">
        <f ca="1">VLOOKUP(C526,Products!$A$2:$C$9,3,FALSE)</f>
        <v>80</v>
      </c>
      <c r="H526">
        <f t="shared" ca="1" si="35"/>
        <v>240</v>
      </c>
    </row>
    <row r="527" spans="1:8" x14ac:dyDescent="0.35">
      <c r="A527">
        <f t="shared" si="32"/>
        <v>1526</v>
      </c>
      <c r="B527" s="2">
        <f t="shared" ca="1" si="33"/>
        <v>45911</v>
      </c>
      <c r="C527" t="str" cm="1">
        <f t="array" aca="1" ref="C527" ca="1">INDEX(Products!$A$2:$A$9,RANDBETWEEN(1,8))</f>
        <v>Home Jersey</v>
      </c>
      <c r="D527" t="str">
        <f ca="1">_xlfn.XLOOKUP(C527,Products!A:A,Products!B:B)</f>
        <v>Jerseys</v>
      </c>
      <c r="E527" t="str" cm="1">
        <f t="array" aca="1" ref="E527" ca="1">INDEX(Regions!$A$2:$A$7,RANDBETWEEN(1,6))</f>
        <v>Dublin</v>
      </c>
      <c r="F527">
        <f t="shared" ca="1" si="34"/>
        <v>1</v>
      </c>
      <c r="G527">
        <f ca="1">VLOOKUP(C527,Products!$A$2:$C$9,3,FALSE)</f>
        <v>80</v>
      </c>
      <c r="H527">
        <f t="shared" ca="1" si="35"/>
        <v>80</v>
      </c>
    </row>
    <row r="528" spans="1:8" x14ac:dyDescent="0.35">
      <c r="A528">
        <f t="shared" si="32"/>
        <v>1527</v>
      </c>
      <c r="B528" s="2">
        <f t="shared" ca="1" si="33"/>
        <v>45708</v>
      </c>
      <c r="C528" t="str" cm="1">
        <f t="array" aca="1" ref="C528" ca="1">INDEX(Products!$A$2:$A$9,RANDBETWEEN(1,8))</f>
        <v>Home Jersey</v>
      </c>
      <c r="D528" t="str">
        <f ca="1">_xlfn.XLOOKUP(C528,Products!A:A,Products!B:B)</f>
        <v>Jerseys</v>
      </c>
      <c r="E528" t="str" cm="1">
        <f t="array" aca="1" ref="E528" ca="1">INDEX(Regions!$A$2:$A$7,RANDBETWEEN(1,6))</f>
        <v>Galway</v>
      </c>
      <c r="F528">
        <f t="shared" ca="1" si="34"/>
        <v>1</v>
      </c>
      <c r="G528">
        <f ca="1">VLOOKUP(C528,Products!$A$2:$C$9,3,FALSE)</f>
        <v>80</v>
      </c>
      <c r="H528">
        <f t="shared" ca="1" si="35"/>
        <v>80</v>
      </c>
    </row>
    <row r="529" spans="1:8" x14ac:dyDescent="0.35">
      <c r="A529">
        <f t="shared" si="32"/>
        <v>1528</v>
      </c>
      <c r="B529" s="2">
        <f t="shared" ca="1" si="33"/>
        <v>45607</v>
      </c>
      <c r="C529" t="str" cm="1">
        <f t="array" aca="1" ref="C529" ca="1">INDEX(Products!$A$2:$A$9,RANDBETWEEN(1,8))</f>
        <v>Home Jersey</v>
      </c>
      <c r="D529" t="str">
        <f ca="1">_xlfn.XLOOKUP(C529,Products!A:A,Products!B:B)</f>
        <v>Jerseys</v>
      </c>
      <c r="E529" t="str" cm="1">
        <f t="array" aca="1" ref="E529" ca="1">INDEX(Regions!$A$2:$A$7,RANDBETWEEN(1,6))</f>
        <v>Cork</v>
      </c>
      <c r="F529">
        <f t="shared" ca="1" si="34"/>
        <v>4</v>
      </c>
      <c r="G529">
        <f ca="1">VLOOKUP(C529,Products!$A$2:$C$9,3,FALSE)</f>
        <v>80</v>
      </c>
      <c r="H529">
        <f t="shared" ca="1" si="35"/>
        <v>320</v>
      </c>
    </row>
    <row r="530" spans="1:8" x14ac:dyDescent="0.35">
      <c r="A530">
        <f t="shared" si="32"/>
        <v>1529</v>
      </c>
      <c r="B530" s="2">
        <f t="shared" ca="1" si="33"/>
        <v>45338</v>
      </c>
      <c r="C530" t="str" cm="1">
        <f t="array" aca="1" ref="C530" ca="1">INDEX(Products!$A$2:$A$9,RANDBETWEEN(1,8))</f>
        <v>Hat</v>
      </c>
      <c r="D530" t="str">
        <f ca="1">_xlfn.XLOOKUP(C530,Products!A:A,Products!B:B)</f>
        <v>Accessories</v>
      </c>
      <c r="E530" t="str" cm="1">
        <f t="array" aca="1" ref="E530" ca="1">INDEX(Regions!$A$2:$A$7,RANDBETWEEN(1,6))</f>
        <v>Galway</v>
      </c>
      <c r="F530">
        <f t="shared" ca="1" si="34"/>
        <v>2</v>
      </c>
      <c r="G530">
        <f ca="1">VLOOKUP(C530,Products!$A$2:$C$9,3,FALSE)</f>
        <v>25</v>
      </c>
      <c r="H530">
        <f t="shared" ca="1" si="35"/>
        <v>50</v>
      </c>
    </row>
    <row r="531" spans="1:8" x14ac:dyDescent="0.35">
      <c r="A531">
        <f t="shared" si="32"/>
        <v>1530</v>
      </c>
      <c r="B531" s="2">
        <f t="shared" ca="1" si="33"/>
        <v>45500</v>
      </c>
      <c r="C531" t="str" cm="1">
        <f t="array" aca="1" ref="C531" ca="1">INDEX(Products!$A$2:$A$9,RANDBETWEEN(1,8))</f>
        <v>Home Jersey</v>
      </c>
      <c r="D531" t="str">
        <f ca="1">_xlfn.XLOOKUP(C531,Products!A:A,Products!B:B)</f>
        <v>Jerseys</v>
      </c>
      <c r="E531" t="str" cm="1">
        <f t="array" aca="1" ref="E531" ca="1">INDEX(Regions!$A$2:$A$7,RANDBETWEEN(1,6))</f>
        <v>Cork</v>
      </c>
      <c r="F531">
        <f t="shared" ca="1" si="34"/>
        <v>2</v>
      </c>
      <c r="G531">
        <f ca="1">VLOOKUP(C531,Products!$A$2:$C$9,3,FALSE)</f>
        <v>80</v>
      </c>
      <c r="H531">
        <f t="shared" ca="1" si="35"/>
        <v>160</v>
      </c>
    </row>
    <row r="532" spans="1:8" x14ac:dyDescent="0.35">
      <c r="A532">
        <f t="shared" si="32"/>
        <v>1531</v>
      </c>
      <c r="B532" s="2">
        <f t="shared" ca="1" si="33"/>
        <v>45889</v>
      </c>
      <c r="C532" t="str" cm="1">
        <f t="array" aca="1" ref="C532" ca="1">INDEX(Products!$A$2:$A$9,RANDBETWEEN(1,8))</f>
        <v>Jacket</v>
      </c>
      <c r="D532" t="str">
        <f ca="1">_xlfn.XLOOKUP(C532,Products!A:A,Products!B:B)</f>
        <v>Training Wear</v>
      </c>
      <c r="E532" t="str" cm="1">
        <f t="array" aca="1" ref="E532" ca="1">INDEX(Regions!$A$2:$A$7,RANDBETWEEN(1,6))</f>
        <v>Cork</v>
      </c>
      <c r="F532">
        <f t="shared" ca="1" si="34"/>
        <v>3</v>
      </c>
      <c r="G532">
        <f ca="1">VLOOKUP(C532,Products!$A$2:$C$9,3,FALSE)</f>
        <v>90</v>
      </c>
      <c r="H532">
        <f t="shared" ca="1" si="35"/>
        <v>270</v>
      </c>
    </row>
    <row r="533" spans="1:8" x14ac:dyDescent="0.35">
      <c r="A533">
        <f t="shared" si="32"/>
        <v>1532</v>
      </c>
      <c r="B533" s="2">
        <f t="shared" ca="1" si="33"/>
        <v>45374</v>
      </c>
      <c r="C533" t="str" cm="1">
        <f t="array" aca="1" ref="C533" ca="1">INDEX(Products!$A$2:$A$9,RANDBETWEEN(1,8))</f>
        <v>Away Jersey</v>
      </c>
      <c r="D533" t="str">
        <f ca="1">_xlfn.XLOOKUP(C533,Products!A:A,Products!B:B)</f>
        <v>Jerseys</v>
      </c>
      <c r="E533" t="str" cm="1">
        <f t="array" aca="1" ref="E533" ca="1">INDEX(Regions!$A$2:$A$7,RANDBETWEEN(1,6))</f>
        <v>Dublin</v>
      </c>
      <c r="F533">
        <f t="shared" ca="1" si="34"/>
        <v>3</v>
      </c>
      <c r="G533">
        <f ca="1">VLOOKUP(C533,Products!$A$2:$C$9,3,FALSE)</f>
        <v>80</v>
      </c>
      <c r="H533">
        <f t="shared" ca="1" si="35"/>
        <v>240</v>
      </c>
    </row>
    <row r="534" spans="1:8" x14ac:dyDescent="0.35">
      <c r="A534">
        <f t="shared" si="32"/>
        <v>1533</v>
      </c>
      <c r="B534" s="2">
        <f t="shared" ca="1" si="33"/>
        <v>45978</v>
      </c>
      <c r="C534" t="str" cm="1">
        <f t="array" aca="1" ref="C534" ca="1">INDEX(Products!$A$2:$A$9,RANDBETWEEN(1,8))</f>
        <v>Hat</v>
      </c>
      <c r="D534" t="str">
        <f ca="1">_xlfn.XLOOKUP(C534,Products!A:A,Products!B:B)</f>
        <v>Accessories</v>
      </c>
      <c r="E534" t="str" cm="1">
        <f t="array" aca="1" ref="E534" ca="1">INDEX(Regions!$A$2:$A$7,RANDBETWEEN(1,6))</f>
        <v>Limerick</v>
      </c>
      <c r="F534">
        <f t="shared" ca="1" si="34"/>
        <v>2</v>
      </c>
      <c r="G534">
        <f ca="1">VLOOKUP(C534,Products!$A$2:$C$9,3,FALSE)</f>
        <v>25</v>
      </c>
      <c r="H534">
        <f t="shared" ca="1" si="35"/>
        <v>50</v>
      </c>
    </row>
    <row r="535" spans="1:8" x14ac:dyDescent="0.35">
      <c r="A535">
        <f t="shared" si="32"/>
        <v>1534</v>
      </c>
      <c r="B535" s="2">
        <f t="shared" ca="1" si="33"/>
        <v>45749</v>
      </c>
      <c r="C535" t="str" cm="1">
        <f t="array" aca="1" ref="C535" ca="1">INDEX(Products!$A$2:$A$9,RANDBETWEEN(1,8))</f>
        <v>Hat</v>
      </c>
      <c r="D535" t="str">
        <f ca="1">_xlfn.XLOOKUP(C535,Products!A:A,Products!B:B)</f>
        <v>Accessories</v>
      </c>
      <c r="E535" t="str" cm="1">
        <f t="array" aca="1" ref="E535" ca="1">INDEX(Regions!$A$2:$A$7,RANDBETWEEN(1,6))</f>
        <v>Dublin</v>
      </c>
      <c r="F535">
        <f t="shared" ca="1" si="34"/>
        <v>2</v>
      </c>
      <c r="G535">
        <f ca="1">VLOOKUP(C535,Products!$A$2:$C$9,3,FALSE)</f>
        <v>25</v>
      </c>
      <c r="H535">
        <f t="shared" ca="1" si="35"/>
        <v>50</v>
      </c>
    </row>
    <row r="536" spans="1:8" x14ac:dyDescent="0.35">
      <c r="A536">
        <f t="shared" si="32"/>
        <v>1535</v>
      </c>
      <c r="B536" s="2">
        <f t="shared" ca="1" si="33"/>
        <v>45904</v>
      </c>
      <c r="C536" t="str" cm="1">
        <f t="array" aca="1" ref="C536" ca="1">INDEX(Products!$A$2:$A$9,RANDBETWEEN(1,8))</f>
        <v>Away Jersey</v>
      </c>
      <c r="D536" t="str">
        <f ca="1">_xlfn.XLOOKUP(C536,Products!A:A,Products!B:B)</f>
        <v>Jerseys</v>
      </c>
      <c r="E536" t="str" cm="1">
        <f t="array" aca="1" ref="E536" ca="1">INDEX(Regions!$A$2:$A$7,RANDBETWEEN(1,6))</f>
        <v>Limerick</v>
      </c>
      <c r="F536">
        <f t="shared" ca="1" si="34"/>
        <v>1</v>
      </c>
      <c r="G536">
        <f ca="1">VLOOKUP(C536,Products!$A$2:$C$9,3,FALSE)</f>
        <v>80</v>
      </c>
      <c r="H536">
        <f t="shared" ca="1" si="35"/>
        <v>80</v>
      </c>
    </row>
    <row r="537" spans="1:8" x14ac:dyDescent="0.35">
      <c r="A537">
        <f t="shared" si="32"/>
        <v>1536</v>
      </c>
      <c r="B537" s="2">
        <f t="shared" ca="1" si="33"/>
        <v>45923</v>
      </c>
      <c r="C537" t="str" cm="1">
        <f t="array" aca="1" ref="C537" ca="1">INDEX(Products!$A$2:$A$9,RANDBETWEEN(1,8))</f>
        <v>Hat</v>
      </c>
      <c r="D537" t="str">
        <f ca="1">_xlfn.XLOOKUP(C537,Products!A:A,Products!B:B)</f>
        <v>Accessories</v>
      </c>
      <c r="E537" t="str" cm="1">
        <f t="array" aca="1" ref="E537" ca="1">INDEX(Regions!$A$2:$A$7,RANDBETWEEN(1,6))</f>
        <v>Dublin</v>
      </c>
      <c r="F537">
        <f t="shared" ca="1" si="34"/>
        <v>5</v>
      </c>
      <c r="G537">
        <f ca="1">VLOOKUP(C537,Products!$A$2:$C$9,3,FALSE)</f>
        <v>25</v>
      </c>
      <c r="H537">
        <f t="shared" ca="1" si="35"/>
        <v>125</v>
      </c>
    </row>
    <row r="538" spans="1:8" x14ac:dyDescent="0.35">
      <c r="A538">
        <f t="shared" si="32"/>
        <v>1537</v>
      </c>
      <c r="B538" s="2">
        <f t="shared" ca="1" si="33"/>
        <v>45886</v>
      </c>
      <c r="C538" t="str" cm="1">
        <f t="array" aca="1" ref="C538" ca="1">INDEX(Products!$A$2:$A$9,RANDBETWEEN(1,8))</f>
        <v>Jacket</v>
      </c>
      <c r="D538" t="str">
        <f ca="1">_xlfn.XLOOKUP(C538,Products!A:A,Products!B:B)</f>
        <v>Training Wear</v>
      </c>
      <c r="E538" t="str" cm="1">
        <f t="array" aca="1" ref="E538" ca="1">INDEX(Regions!$A$2:$A$7,RANDBETWEEN(1,6))</f>
        <v>Waterford</v>
      </c>
      <c r="F538">
        <f t="shared" ca="1" si="34"/>
        <v>1</v>
      </c>
      <c r="G538">
        <f ca="1">VLOOKUP(C538,Products!$A$2:$C$9,3,FALSE)</f>
        <v>90</v>
      </c>
      <c r="H538">
        <f t="shared" ca="1" si="35"/>
        <v>90</v>
      </c>
    </row>
    <row r="539" spans="1:8" x14ac:dyDescent="0.35">
      <c r="A539">
        <f t="shared" si="32"/>
        <v>1538</v>
      </c>
      <c r="B539" s="2">
        <f t="shared" ca="1" si="33"/>
        <v>45878</v>
      </c>
      <c r="C539" t="str" cm="1">
        <f t="array" aca="1" ref="C539" ca="1">INDEX(Products!$A$2:$A$9,RANDBETWEEN(1,8))</f>
        <v>Third Jersey</v>
      </c>
      <c r="D539" t="str">
        <f ca="1">_xlfn.XLOOKUP(C539,Products!A:A,Products!B:B)</f>
        <v>Jerseys</v>
      </c>
      <c r="E539" t="str" cm="1">
        <f t="array" aca="1" ref="E539" ca="1">INDEX(Regions!$A$2:$A$7,RANDBETWEEN(1,6))</f>
        <v>Belfast</v>
      </c>
      <c r="F539">
        <f t="shared" ca="1" si="34"/>
        <v>1</v>
      </c>
      <c r="G539">
        <f ca="1">VLOOKUP(C539,Products!$A$2:$C$9,3,FALSE)</f>
        <v>85</v>
      </c>
      <c r="H539">
        <f t="shared" ca="1" si="35"/>
        <v>85</v>
      </c>
    </row>
    <row r="540" spans="1:8" x14ac:dyDescent="0.35">
      <c r="A540">
        <f t="shared" si="32"/>
        <v>1539</v>
      </c>
      <c r="B540" s="2">
        <f t="shared" ca="1" si="33"/>
        <v>45846</v>
      </c>
      <c r="C540" t="str" cm="1">
        <f t="array" aca="1" ref="C540" ca="1">INDEX(Products!$A$2:$A$9,RANDBETWEEN(1,8))</f>
        <v>Scarf</v>
      </c>
      <c r="D540" t="str">
        <f ca="1">_xlfn.XLOOKUP(C540,Products!A:A,Products!B:B)</f>
        <v>Accessories</v>
      </c>
      <c r="E540" t="str" cm="1">
        <f t="array" aca="1" ref="E540" ca="1">INDEX(Regions!$A$2:$A$7,RANDBETWEEN(1,6))</f>
        <v>Dublin</v>
      </c>
      <c r="F540">
        <f t="shared" ca="1" si="34"/>
        <v>5</v>
      </c>
      <c r="G540">
        <f ca="1">VLOOKUP(C540,Products!$A$2:$C$9,3,FALSE)</f>
        <v>20</v>
      </c>
      <c r="H540">
        <f t="shared" ca="1" si="35"/>
        <v>100</v>
      </c>
    </row>
    <row r="541" spans="1:8" x14ac:dyDescent="0.35">
      <c r="A541">
        <f t="shared" si="32"/>
        <v>1540</v>
      </c>
      <c r="B541" s="2">
        <f t="shared" ca="1" si="33"/>
        <v>45677</v>
      </c>
      <c r="C541" t="str" cm="1">
        <f t="array" aca="1" ref="C541" ca="1">INDEX(Products!$A$2:$A$9,RANDBETWEEN(1,8))</f>
        <v>Hat</v>
      </c>
      <c r="D541" t="str">
        <f ca="1">_xlfn.XLOOKUP(C541,Products!A:A,Products!B:B)</f>
        <v>Accessories</v>
      </c>
      <c r="E541" t="str" cm="1">
        <f t="array" aca="1" ref="E541" ca="1">INDEX(Regions!$A$2:$A$7,RANDBETWEEN(1,6))</f>
        <v>Galway</v>
      </c>
      <c r="F541">
        <f t="shared" ca="1" si="34"/>
        <v>2</v>
      </c>
      <c r="G541">
        <f ca="1">VLOOKUP(C541,Products!$A$2:$C$9,3,FALSE)</f>
        <v>25</v>
      </c>
      <c r="H541">
        <f t="shared" ca="1" si="35"/>
        <v>50</v>
      </c>
    </row>
    <row r="542" spans="1:8" x14ac:dyDescent="0.35">
      <c r="A542">
        <f t="shared" si="32"/>
        <v>1541</v>
      </c>
      <c r="B542" s="2">
        <f t="shared" ca="1" si="33"/>
        <v>45772</v>
      </c>
      <c r="C542" t="str" cm="1">
        <f t="array" aca="1" ref="C542" ca="1">INDEX(Products!$A$2:$A$9,RANDBETWEEN(1,8))</f>
        <v>Home Jersey</v>
      </c>
      <c r="D542" t="str">
        <f ca="1">_xlfn.XLOOKUP(C542,Products!A:A,Products!B:B)</f>
        <v>Jerseys</v>
      </c>
      <c r="E542" t="str" cm="1">
        <f t="array" aca="1" ref="E542" ca="1">INDEX(Regions!$A$2:$A$7,RANDBETWEEN(1,6))</f>
        <v>Belfast</v>
      </c>
      <c r="F542">
        <f t="shared" ca="1" si="34"/>
        <v>1</v>
      </c>
      <c r="G542">
        <f ca="1">VLOOKUP(C542,Products!$A$2:$C$9,3,FALSE)</f>
        <v>80</v>
      </c>
      <c r="H542">
        <f t="shared" ca="1" si="35"/>
        <v>80</v>
      </c>
    </row>
    <row r="543" spans="1:8" x14ac:dyDescent="0.35">
      <c r="A543">
        <f t="shared" si="32"/>
        <v>1542</v>
      </c>
      <c r="B543" s="2">
        <f t="shared" ca="1" si="33"/>
        <v>45524</v>
      </c>
      <c r="C543" t="str" cm="1">
        <f t="array" aca="1" ref="C543" ca="1">INDEX(Products!$A$2:$A$9,RANDBETWEEN(1,8))</f>
        <v>Away Jersey</v>
      </c>
      <c r="D543" t="str">
        <f ca="1">_xlfn.XLOOKUP(C543,Products!A:A,Products!B:B)</f>
        <v>Jerseys</v>
      </c>
      <c r="E543" t="str" cm="1">
        <f t="array" aca="1" ref="E543" ca="1">INDEX(Regions!$A$2:$A$7,RANDBETWEEN(1,6))</f>
        <v>Waterford</v>
      </c>
      <c r="F543">
        <f t="shared" ca="1" si="34"/>
        <v>1</v>
      </c>
      <c r="G543">
        <f ca="1">VLOOKUP(C543,Products!$A$2:$C$9,3,FALSE)</f>
        <v>80</v>
      </c>
      <c r="H543">
        <f t="shared" ca="1" si="35"/>
        <v>80</v>
      </c>
    </row>
    <row r="544" spans="1:8" x14ac:dyDescent="0.35">
      <c r="A544">
        <f t="shared" si="32"/>
        <v>1543</v>
      </c>
      <c r="B544" s="2">
        <f t="shared" ca="1" si="33"/>
        <v>45892</v>
      </c>
      <c r="C544" t="str" cm="1">
        <f t="array" aca="1" ref="C544" ca="1">INDEX(Products!$A$2:$A$9,RANDBETWEEN(1,8))</f>
        <v>Scarf</v>
      </c>
      <c r="D544" t="str">
        <f ca="1">_xlfn.XLOOKUP(C544,Products!A:A,Products!B:B)</f>
        <v>Accessories</v>
      </c>
      <c r="E544" t="str" cm="1">
        <f t="array" aca="1" ref="E544" ca="1">INDEX(Regions!$A$2:$A$7,RANDBETWEEN(1,6))</f>
        <v>Limerick</v>
      </c>
      <c r="F544">
        <f t="shared" ca="1" si="34"/>
        <v>5</v>
      </c>
      <c r="G544">
        <f ca="1">VLOOKUP(C544,Products!$A$2:$C$9,3,FALSE)</f>
        <v>20</v>
      </c>
      <c r="H544">
        <f t="shared" ca="1" si="35"/>
        <v>100</v>
      </c>
    </row>
    <row r="545" spans="1:8" x14ac:dyDescent="0.35">
      <c r="A545">
        <f t="shared" si="32"/>
        <v>1544</v>
      </c>
      <c r="B545" s="2">
        <f t="shared" ca="1" si="33"/>
        <v>45783</v>
      </c>
      <c r="C545" t="str" cm="1">
        <f t="array" aca="1" ref="C545" ca="1">INDEX(Products!$A$2:$A$9,RANDBETWEEN(1,8))</f>
        <v>Training Top</v>
      </c>
      <c r="D545" t="str">
        <f ca="1">_xlfn.XLOOKUP(C545,Products!A:A,Products!B:B)</f>
        <v>Training Wear</v>
      </c>
      <c r="E545" t="str" cm="1">
        <f t="array" aca="1" ref="E545" ca="1">INDEX(Regions!$A$2:$A$7,RANDBETWEEN(1,6))</f>
        <v>Limerick</v>
      </c>
      <c r="F545">
        <f t="shared" ca="1" si="34"/>
        <v>5</v>
      </c>
      <c r="G545">
        <f ca="1">VLOOKUP(C545,Products!$A$2:$C$9,3,FALSE)</f>
        <v>55</v>
      </c>
      <c r="H545">
        <f t="shared" ca="1" si="35"/>
        <v>275</v>
      </c>
    </row>
    <row r="546" spans="1:8" x14ac:dyDescent="0.35">
      <c r="A546">
        <f t="shared" si="32"/>
        <v>1545</v>
      </c>
      <c r="B546" s="2">
        <f t="shared" ca="1" si="33"/>
        <v>45338</v>
      </c>
      <c r="C546" t="str" cm="1">
        <f t="array" aca="1" ref="C546" ca="1">INDEX(Products!$A$2:$A$9,RANDBETWEEN(1,8))</f>
        <v>Jacket</v>
      </c>
      <c r="D546" t="str">
        <f ca="1">_xlfn.XLOOKUP(C546,Products!A:A,Products!B:B)</f>
        <v>Training Wear</v>
      </c>
      <c r="E546" t="str" cm="1">
        <f t="array" aca="1" ref="E546" ca="1">INDEX(Regions!$A$2:$A$7,RANDBETWEEN(1,6))</f>
        <v>Galway</v>
      </c>
      <c r="F546">
        <f t="shared" ca="1" si="34"/>
        <v>4</v>
      </c>
      <c r="G546">
        <f ca="1">VLOOKUP(C546,Products!$A$2:$C$9,3,FALSE)</f>
        <v>90</v>
      </c>
      <c r="H546">
        <f t="shared" ca="1" si="35"/>
        <v>360</v>
      </c>
    </row>
    <row r="547" spans="1:8" x14ac:dyDescent="0.35">
      <c r="A547">
        <f t="shared" si="32"/>
        <v>1546</v>
      </c>
      <c r="B547" s="2">
        <f t="shared" ca="1" si="33"/>
        <v>45636</v>
      </c>
      <c r="C547" t="str" cm="1">
        <f t="array" aca="1" ref="C547" ca="1">INDEX(Products!$A$2:$A$9,RANDBETWEEN(1,8))</f>
        <v>Home Jersey</v>
      </c>
      <c r="D547" t="str">
        <f ca="1">_xlfn.XLOOKUP(C547,Products!A:A,Products!B:B)</f>
        <v>Jerseys</v>
      </c>
      <c r="E547" t="str" cm="1">
        <f t="array" aca="1" ref="E547" ca="1">INDEX(Regions!$A$2:$A$7,RANDBETWEEN(1,6))</f>
        <v>Belfast</v>
      </c>
      <c r="F547">
        <f t="shared" ca="1" si="34"/>
        <v>5</v>
      </c>
      <c r="G547">
        <f ca="1">VLOOKUP(C547,Products!$A$2:$C$9,3,FALSE)</f>
        <v>80</v>
      </c>
      <c r="H547">
        <f t="shared" ca="1" si="35"/>
        <v>400</v>
      </c>
    </row>
    <row r="548" spans="1:8" x14ac:dyDescent="0.35">
      <c r="A548">
        <f t="shared" si="32"/>
        <v>1547</v>
      </c>
      <c r="B548" s="2">
        <f t="shared" ca="1" si="33"/>
        <v>45828</v>
      </c>
      <c r="C548" t="str" cm="1">
        <f t="array" aca="1" ref="C548" ca="1">INDEX(Products!$A$2:$A$9,RANDBETWEEN(1,8))</f>
        <v>Scarf</v>
      </c>
      <c r="D548" t="str">
        <f ca="1">_xlfn.XLOOKUP(C548,Products!A:A,Products!B:B)</f>
        <v>Accessories</v>
      </c>
      <c r="E548" t="str" cm="1">
        <f t="array" aca="1" ref="E548" ca="1">INDEX(Regions!$A$2:$A$7,RANDBETWEEN(1,6))</f>
        <v>Waterford</v>
      </c>
      <c r="F548">
        <f t="shared" ca="1" si="34"/>
        <v>3</v>
      </c>
      <c r="G548">
        <f ca="1">VLOOKUP(C548,Products!$A$2:$C$9,3,FALSE)</f>
        <v>20</v>
      </c>
      <c r="H548">
        <f t="shared" ca="1" si="35"/>
        <v>60</v>
      </c>
    </row>
    <row r="549" spans="1:8" x14ac:dyDescent="0.35">
      <c r="A549">
        <f t="shared" si="32"/>
        <v>1548</v>
      </c>
      <c r="B549" s="2">
        <f t="shared" ca="1" si="33"/>
        <v>45302</v>
      </c>
      <c r="C549" t="str" cm="1">
        <f t="array" aca="1" ref="C549" ca="1">INDEX(Products!$A$2:$A$9,RANDBETWEEN(1,8))</f>
        <v>Training Top</v>
      </c>
      <c r="D549" t="str">
        <f ca="1">_xlfn.XLOOKUP(C549,Products!A:A,Products!B:B)</f>
        <v>Training Wear</v>
      </c>
      <c r="E549" t="str" cm="1">
        <f t="array" aca="1" ref="E549" ca="1">INDEX(Regions!$A$2:$A$7,RANDBETWEEN(1,6))</f>
        <v>Belfast</v>
      </c>
      <c r="F549">
        <f t="shared" ca="1" si="34"/>
        <v>5</v>
      </c>
      <c r="G549">
        <f ca="1">VLOOKUP(C549,Products!$A$2:$C$9,3,FALSE)</f>
        <v>55</v>
      </c>
      <c r="H549">
        <f t="shared" ca="1" si="35"/>
        <v>275</v>
      </c>
    </row>
    <row r="550" spans="1:8" x14ac:dyDescent="0.35">
      <c r="A550">
        <f t="shared" si="32"/>
        <v>1549</v>
      </c>
      <c r="B550" s="2">
        <f t="shared" ca="1" si="33"/>
        <v>45799</v>
      </c>
      <c r="C550" t="str" cm="1">
        <f t="array" aca="1" ref="C550" ca="1">INDEX(Products!$A$2:$A$9,RANDBETWEEN(1,8))</f>
        <v>Hat</v>
      </c>
      <c r="D550" t="str">
        <f ca="1">_xlfn.XLOOKUP(C550,Products!A:A,Products!B:B)</f>
        <v>Accessories</v>
      </c>
      <c r="E550" t="str" cm="1">
        <f t="array" aca="1" ref="E550" ca="1">INDEX(Regions!$A$2:$A$7,RANDBETWEEN(1,6))</f>
        <v>Cork</v>
      </c>
      <c r="F550">
        <f t="shared" ca="1" si="34"/>
        <v>5</v>
      </c>
      <c r="G550">
        <f ca="1">VLOOKUP(C550,Products!$A$2:$C$9,3,FALSE)</f>
        <v>25</v>
      </c>
      <c r="H550">
        <f t="shared" ca="1" si="35"/>
        <v>125</v>
      </c>
    </row>
    <row r="551" spans="1:8" x14ac:dyDescent="0.35">
      <c r="A551">
        <f t="shared" si="32"/>
        <v>1550</v>
      </c>
      <c r="B551" s="2">
        <f t="shared" ca="1" si="33"/>
        <v>46012</v>
      </c>
      <c r="C551" t="str" cm="1">
        <f t="array" aca="1" ref="C551" ca="1">INDEX(Products!$A$2:$A$9,RANDBETWEEN(1,8))</f>
        <v>Scarf</v>
      </c>
      <c r="D551" t="str">
        <f ca="1">_xlfn.XLOOKUP(C551,Products!A:A,Products!B:B)</f>
        <v>Accessories</v>
      </c>
      <c r="E551" t="str" cm="1">
        <f t="array" aca="1" ref="E551" ca="1">INDEX(Regions!$A$2:$A$7,RANDBETWEEN(1,6))</f>
        <v>Waterford</v>
      </c>
      <c r="F551">
        <f t="shared" ca="1" si="34"/>
        <v>5</v>
      </c>
      <c r="G551">
        <f ca="1">VLOOKUP(C551,Products!$A$2:$C$9,3,FALSE)</f>
        <v>20</v>
      </c>
      <c r="H551">
        <f t="shared" ca="1" si="35"/>
        <v>100</v>
      </c>
    </row>
    <row r="552" spans="1:8" x14ac:dyDescent="0.35">
      <c r="A552">
        <f t="shared" si="32"/>
        <v>1551</v>
      </c>
      <c r="B552" s="2">
        <f t="shared" ca="1" si="33"/>
        <v>45997</v>
      </c>
      <c r="C552" t="str" cm="1">
        <f t="array" aca="1" ref="C552" ca="1">INDEX(Products!$A$2:$A$9,RANDBETWEEN(1,8))</f>
        <v>Scarf</v>
      </c>
      <c r="D552" t="str">
        <f ca="1">_xlfn.XLOOKUP(C552,Products!A:A,Products!B:B)</f>
        <v>Accessories</v>
      </c>
      <c r="E552" t="str" cm="1">
        <f t="array" aca="1" ref="E552" ca="1">INDEX(Regions!$A$2:$A$7,RANDBETWEEN(1,6))</f>
        <v>Belfast</v>
      </c>
      <c r="F552">
        <f t="shared" ca="1" si="34"/>
        <v>4</v>
      </c>
      <c r="G552">
        <f ca="1">VLOOKUP(C552,Products!$A$2:$C$9,3,FALSE)</f>
        <v>20</v>
      </c>
      <c r="H552">
        <f t="shared" ca="1" si="35"/>
        <v>80</v>
      </c>
    </row>
    <row r="553" spans="1:8" x14ac:dyDescent="0.35">
      <c r="A553">
        <f t="shared" si="32"/>
        <v>1552</v>
      </c>
      <c r="B553" s="2">
        <f t="shared" ca="1" si="33"/>
        <v>45703</v>
      </c>
      <c r="C553" t="str" cm="1">
        <f t="array" aca="1" ref="C553" ca="1">INDEX(Products!$A$2:$A$9,RANDBETWEEN(1,8))</f>
        <v>Training Top</v>
      </c>
      <c r="D553" t="str">
        <f ca="1">_xlfn.XLOOKUP(C553,Products!A:A,Products!B:B)</f>
        <v>Training Wear</v>
      </c>
      <c r="E553" t="str" cm="1">
        <f t="array" aca="1" ref="E553" ca="1">INDEX(Regions!$A$2:$A$7,RANDBETWEEN(1,6))</f>
        <v>Cork</v>
      </c>
      <c r="F553">
        <f t="shared" ca="1" si="34"/>
        <v>1</v>
      </c>
      <c r="G553">
        <f ca="1">VLOOKUP(C553,Products!$A$2:$C$9,3,FALSE)</f>
        <v>55</v>
      </c>
      <c r="H553">
        <f t="shared" ca="1" si="35"/>
        <v>55</v>
      </c>
    </row>
    <row r="554" spans="1:8" x14ac:dyDescent="0.35">
      <c r="A554">
        <f t="shared" si="32"/>
        <v>1553</v>
      </c>
      <c r="B554" s="2">
        <f t="shared" ca="1" si="33"/>
        <v>45601</v>
      </c>
      <c r="C554" t="str" cm="1">
        <f t="array" aca="1" ref="C554" ca="1">INDEX(Products!$A$2:$A$9,RANDBETWEEN(1,8))</f>
        <v>Jacket</v>
      </c>
      <c r="D554" t="str">
        <f ca="1">_xlfn.XLOOKUP(C554,Products!A:A,Products!B:B)</f>
        <v>Training Wear</v>
      </c>
      <c r="E554" t="str" cm="1">
        <f t="array" aca="1" ref="E554" ca="1">INDEX(Regions!$A$2:$A$7,RANDBETWEEN(1,6))</f>
        <v>Cork</v>
      </c>
      <c r="F554">
        <f t="shared" ca="1" si="34"/>
        <v>2</v>
      </c>
      <c r="G554">
        <f ca="1">VLOOKUP(C554,Products!$A$2:$C$9,3,FALSE)</f>
        <v>90</v>
      </c>
      <c r="H554">
        <f t="shared" ca="1" si="35"/>
        <v>180</v>
      </c>
    </row>
    <row r="555" spans="1:8" x14ac:dyDescent="0.35">
      <c r="A555">
        <f t="shared" si="32"/>
        <v>1554</v>
      </c>
      <c r="B555" s="2">
        <f t="shared" ca="1" si="33"/>
        <v>45827</v>
      </c>
      <c r="C555" t="str" cm="1">
        <f t="array" aca="1" ref="C555" ca="1">INDEX(Products!$A$2:$A$9,RANDBETWEEN(1,8))</f>
        <v>Third Jersey</v>
      </c>
      <c r="D555" t="str">
        <f ca="1">_xlfn.XLOOKUP(C555,Products!A:A,Products!B:B)</f>
        <v>Jerseys</v>
      </c>
      <c r="E555" t="str" cm="1">
        <f t="array" aca="1" ref="E555" ca="1">INDEX(Regions!$A$2:$A$7,RANDBETWEEN(1,6))</f>
        <v>Waterford</v>
      </c>
      <c r="F555">
        <f t="shared" ca="1" si="34"/>
        <v>1</v>
      </c>
      <c r="G555">
        <f ca="1">VLOOKUP(C555,Products!$A$2:$C$9,3,FALSE)</f>
        <v>85</v>
      </c>
      <c r="H555">
        <f t="shared" ca="1" si="35"/>
        <v>85</v>
      </c>
    </row>
    <row r="556" spans="1:8" x14ac:dyDescent="0.35">
      <c r="A556">
        <f t="shared" si="32"/>
        <v>1555</v>
      </c>
      <c r="B556" s="2">
        <f t="shared" ca="1" si="33"/>
        <v>46006</v>
      </c>
      <c r="C556" t="str" cm="1">
        <f t="array" aca="1" ref="C556" ca="1">INDEX(Products!$A$2:$A$9,RANDBETWEEN(1,8))</f>
        <v>Jacket</v>
      </c>
      <c r="D556" t="str">
        <f ca="1">_xlfn.XLOOKUP(C556,Products!A:A,Products!B:B)</f>
        <v>Training Wear</v>
      </c>
      <c r="E556" t="str" cm="1">
        <f t="array" aca="1" ref="E556" ca="1">INDEX(Regions!$A$2:$A$7,RANDBETWEEN(1,6))</f>
        <v>Cork</v>
      </c>
      <c r="F556">
        <f t="shared" ca="1" si="34"/>
        <v>3</v>
      </c>
      <c r="G556">
        <f ca="1">VLOOKUP(C556,Products!$A$2:$C$9,3,FALSE)</f>
        <v>90</v>
      </c>
      <c r="H556">
        <f t="shared" ca="1" si="35"/>
        <v>270</v>
      </c>
    </row>
    <row r="557" spans="1:8" x14ac:dyDescent="0.35">
      <c r="A557">
        <f t="shared" si="32"/>
        <v>1556</v>
      </c>
      <c r="B557" s="2">
        <f t="shared" ca="1" si="33"/>
        <v>46017</v>
      </c>
      <c r="C557" t="str" cm="1">
        <f t="array" aca="1" ref="C557" ca="1">INDEX(Products!$A$2:$A$9,RANDBETWEEN(1,8))</f>
        <v>Jacket</v>
      </c>
      <c r="D557" t="str">
        <f ca="1">_xlfn.XLOOKUP(C557,Products!A:A,Products!B:B)</f>
        <v>Training Wear</v>
      </c>
      <c r="E557" t="str" cm="1">
        <f t="array" aca="1" ref="E557" ca="1">INDEX(Regions!$A$2:$A$7,RANDBETWEEN(1,6))</f>
        <v>Belfast</v>
      </c>
      <c r="F557">
        <f t="shared" ca="1" si="34"/>
        <v>2</v>
      </c>
      <c r="G557">
        <f ca="1">VLOOKUP(C557,Products!$A$2:$C$9,3,FALSE)</f>
        <v>90</v>
      </c>
      <c r="H557">
        <f t="shared" ca="1" si="35"/>
        <v>180</v>
      </c>
    </row>
    <row r="558" spans="1:8" x14ac:dyDescent="0.35">
      <c r="A558">
        <f t="shared" si="32"/>
        <v>1557</v>
      </c>
      <c r="B558" s="2">
        <f t="shared" ca="1" si="33"/>
        <v>45861</v>
      </c>
      <c r="C558" t="str" cm="1">
        <f t="array" aca="1" ref="C558" ca="1">INDEX(Products!$A$2:$A$9,RANDBETWEEN(1,8))</f>
        <v>Away Jersey</v>
      </c>
      <c r="D558" t="str">
        <f ca="1">_xlfn.XLOOKUP(C558,Products!A:A,Products!B:B)</f>
        <v>Jerseys</v>
      </c>
      <c r="E558" t="str" cm="1">
        <f t="array" aca="1" ref="E558" ca="1">INDEX(Regions!$A$2:$A$7,RANDBETWEEN(1,6))</f>
        <v>Belfast</v>
      </c>
      <c r="F558">
        <f t="shared" ca="1" si="34"/>
        <v>2</v>
      </c>
      <c r="G558">
        <f ca="1">VLOOKUP(C558,Products!$A$2:$C$9,3,FALSE)</f>
        <v>80</v>
      </c>
      <c r="H558">
        <f t="shared" ca="1" si="35"/>
        <v>160</v>
      </c>
    </row>
    <row r="559" spans="1:8" x14ac:dyDescent="0.35">
      <c r="A559">
        <f t="shared" si="32"/>
        <v>1558</v>
      </c>
      <c r="B559" s="2">
        <f t="shared" ca="1" si="33"/>
        <v>45854</v>
      </c>
      <c r="C559" t="str" cm="1">
        <f t="array" aca="1" ref="C559" ca="1">INDEX(Products!$A$2:$A$9,RANDBETWEEN(1,8))</f>
        <v>Home Jersey</v>
      </c>
      <c r="D559" t="str">
        <f ca="1">_xlfn.XLOOKUP(C559,Products!A:A,Products!B:B)</f>
        <v>Jerseys</v>
      </c>
      <c r="E559" t="str" cm="1">
        <f t="array" aca="1" ref="E559" ca="1">INDEX(Regions!$A$2:$A$7,RANDBETWEEN(1,6))</f>
        <v>Limerick</v>
      </c>
      <c r="F559">
        <f t="shared" ca="1" si="34"/>
        <v>2</v>
      </c>
      <c r="G559">
        <f ca="1">VLOOKUP(C559,Products!$A$2:$C$9,3,FALSE)</f>
        <v>80</v>
      </c>
      <c r="H559">
        <f t="shared" ca="1" si="35"/>
        <v>160</v>
      </c>
    </row>
    <row r="560" spans="1:8" x14ac:dyDescent="0.35">
      <c r="A560">
        <f t="shared" si="32"/>
        <v>1559</v>
      </c>
      <c r="B560" s="2">
        <f t="shared" ca="1" si="33"/>
        <v>45715</v>
      </c>
      <c r="C560" t="str" cm="1">
        <f t="array" aca="1" ref="C560" ca="1">INDEX(Products!$A$2:$A$9,RANDBETWEEN(1,8))</f>
        <v>Scarf</v>
      </c>
      <c r="D560" t="str">
        <f ca="1">_xlfn.XLOOKUP(C560,Products!A:A,Products!B:B)</f>
        <v>Accessories</v>
      </c>
      <c r="E560" t="str" cm="1">
        <f t="array" aca="1" ref="E560" ca="1">INDEX(Regions!$A$2:$A$7,RANDBETWEEN(1,6))</f>
        <v>Belfast</v>
      </c>
      <c r="F560">
        <f t="shared" ca="1" si="34"/>
        <v>5</v>
      </c>
      <c r="G560">
        <f ca="1">VLOOKUP(C560,Products!$A$2:$C$9,3,FALSE)</f>
        <v>20</v>
      </c>
      <c r="H560">
        <f t="shared" ca="1" si="35"/>
        <v>100</v>
      </c>
    </row>
    <row r="561" spans="1:8" x14ac:dyDescent="0.35">
      <c r="A561">
        <f t="shared" si="32"/>
        <v>1560</v>
      </c>
      <c r="B561" s="2">
        <f t="shared" ca="1" si="33"/>
        <v>45465</v>
      </c>
      <c r="C561" t="str" cm="1">
        <f t="array" aca="1" ref="C561" ca="1">INDEX(Products!$A$2:$A$9,RANDBETWEEN(1,8))</f>
        <v>Home Jersey</v>
      </c>
      <c r="D561" t="str">
        <f ca="1">_xlfn.XLOOKUP(C561,Products!A:A,Products!B:B)</f>
        <v>Jerseys</v>
      </c>
      <c r="E561" t="str" cm="1">
        <f t="array" aca="1" ref="E561" ca="1">INDEX(Regions!$A$2:$A$7,RANDBETWEEN(1,6))</f>
        <v>Cork</v>
      </c>
      <c r="F561">
        <f t="shared" ca="1" si="34"/>
        <v>5</v>
      </c>
      <c r="G561">
        <f ca="1">VLOOKUP(C561,Products!$A$2:$C$9,3,FALSE)</f>
        <v>80</v>
      </c>
      <c r="H561">
        <f t="shared" ca="1" si="35"/>
        <v>400</v>
      </c>
    </row>
    <row r="562" spans="1:8" x14ac:dyDescent="0.35">
      <c r="A562">
        <f t="shared" si="32"/>
        <v>1561</v>
      </c>
      <c r="B562" s="2">
        <f t="shared" ca="1" si="33"/>
        <v>45632</v>
      </c>
      <c r="C562" t="str" cm="1">
        <f t="array" aca="1" ref="C562" ca="1">INDEX(Products!$A$2:$A$9,RANDBETWEEN(1,8))</f>
        <v>Training Top</v>
      </c>
      <c r="D562" t="str">
        <f ca="1">_xlfn.XLOOKUP(C562,Products!A:A,Products!B:B)</f>
        <v>Training Wear</v>
      </c>
      <c r="E562" t="str" cm="1">
        <f t="array" aca="1" ref="E562" ca="1">INDEX(Regions!$A$2:$A$7,RANDBETWEEN(1,6))</f>
        <v>Dublin</v>
      </c>
      <c r="F562">
        <f t="shared" ca="1" si="34"/>
        <v>1</v>
      </c>
      <c r="G562">
        <f ca="1">VLOOKUP(C562,Products!$A$2:$C$9,3,FALSE)</f>
        <v>55</v>
      </c>
      <c r="H562">
        <f t="shared" ca="1" si="35"/>
        <v>55</v>
      </c>
    </row>
    <row r="563" spans="1:8" x14ac:dyDescent="0.35">
      <c r="A563">
        <f t="shared" si="32"/>
        <v>1562</v>
      </c>
      <c r="B563" s="2">
        <f t="shared" ca="1" si="33"/>
        <v>45652</v>
      </c>
      <c r="C563" t="str" cm="1">
        <f t="array" aca="1" ref="C563" ca="1">INDEX(Products!$A$2:$A$9,RANDBETWEEN(1,8))</f>
        <v>Training Top</v>
      </c>
      <c r="D563" t="str">
        <f ca="1">_xlfn.XLOOKUP(C563,Products!A:A,Products!B:B)</f>
        <v>Training Wear</v>
      </c>
      <c r="E563" t="str" cm="1">
        <f t="array" aca="1" ref="E563" ca="1">INDEX(Regions!$A$2:$A$7,RANDBETWEEN(1,6))</f>
        <v>Dublin</v>
      </c>
      <c r="F563">
        <f t="shared" ca="1" si="34"/>
        <v>3</v>
      </c>
      <c r="G563">
        <f ca="1">VLOOKUP(C563,Products!$A$2:$C$9,3,FALSE)</f>
        <v>55</v>
      </c>
      <c r="H563">
        <f t="shared" ca="1" si="35"/>
        <v>165</v>
      </c>
    </row>
    <row r="564" spans="1:8" x14ac:dyDescent="0.35">
      <c r="A564">
        <f t="shared" si="32"/>
        <v>1563</v>
      </c>
      <c r="B564" s="2">
        <f t="shared" ca="1" si="33"/>
        <v>45811</v>
      </c>
      <c r="C564" t="str" cm="1">
        <f t="array" aca="1" ref="C564" ca="1">INDEX(Products!$A$2:$A$9,RANDBETWEEN(1,8))</f>
        <v>Away Jersey</v>
      </c>
      <c r="D564" t="str">
        <f ca="1">_xlfn.XLOOKUP(C564,Products!A:A,Products!B:B)</f>
        <v>Jerseys</v>
      </c>
      <c r="E564" t="str" cm="1">
        <f t="array" aca="1" ref="E564" ca="1">INDEX(Regions!$A$2:$A$7,RANDBETWEEN(1,6))</f>
        <v>Limerick</v>
      </c>
      <c r="F564">
        <f t="shared" ca="1" si="34"/>
        <v>4</v>
      </c>
      <c r="G564">
        <f ca="1">VLOOKUP(C564,Products!$A$2:$C$9,3,FALSE)</f>
        <v>80</v>
      </c>
      <c r="H564">
        <f t="shared" ca="1" si="35"/>
        <v>320</v>
      </c>
    </row>
    <row r="565" spans="1:8" x14ac:dyDescent="0.35">
      <c r="A565">
        <f t="shared" si="32"/>
        <v>1564</v>
      </c>
      <c r="B565" s="2">
        <f t="shared" ca="1" si="33"/>
        <v>45902</v>
      </c>
      <c r="C565" t="str" cm="1">
        <f t="array" aca="1" ref="C565" ca="1">INDEX(Products!$A$2:$A$9,RANDBETWEEN(1,8))</f>
        <v>Away Jersey</v>
      </c>
      <c r="D565" t="str">
        <f ca="1">_xlfn.XLOOKUP(C565,Products!A:A,Products!B:B)</f>
        <v>Jerseys</v>
      </c>
      <c r="E565" t="str" cm="1">
        <f t="array" aca="1" ref="E565" ca="1">INDEX(Regions!$A$2:$A$7,RANDBETWEEN(1,6))</f>
        <v>Belfast</v>
      </c>
      <c r="F565">
        <f t="shared" ca="1" si="34"/>
        <v>2</v>
      </c>
      <c r="G565">
        <f ca="1">VLOOKUP(C565,Products!$A$2:$C$9,3,FALSE)</f>
        <v>80</v>
      </c>
      <c r="H565">
        <f t="shared" ca="1" si="35"/>
        <v>160</v>
      </c>
    </row>
    <row r="566" spans="1:8" x14ac:dyDescent="0.35">
      <c r="A566">
        <f t="shared" si="32"/>
        <v>1565</v>
      </c>
      <c r="B566" s="2">
        <f t="shared" ca="1" si="33"/>
        <v>45334</v>
      </c>
      <c r="C566" t="str" cm="1">
        <f t="array" aca="1" ref="C566" ca="1">INDEX(Products!$A$2:$A$9,RANDBETWEEN(1,8))</f>
        <v>Away Jersey</v>
      </c>
      <c r="D566" t="str">
        <f ca="1">_xlfn.XLOOKUP(C566,Products!A:A,Products!B:B)</f>
        <v>Jerseys</v>
      </c>
      <c r="E566" t="str" cm="1">
        <f t="array" aca="1" ref="E566" ca="1">INDEX(Regions!$A$2:$A$7,RANDBETWEEN(1,6))</f>
        <v>Dublin</v>
      </c>
      <c r="F566">
        <f t="shared" ca="1" si="34"/>
        <v>3</v>
      </c>
      <c r="G566">
        <f ca="1">VLOOKUP(C566,Products!$A$2:$C$9,3,FALSE)</f>
        <v>80</v>
      </c>
      <c r="H566">
        <f t="shared" ca="1" si="35"/>
        <v>240</v>
      </c>
    </row>
    <row r="567" spans="1:8" x14ac:dyDescent="0.35">
      <c r="A567">
        <f t="shared" si="32"/>
        <v>1566</v>
      </c>
      <c r="B567" s="2">
        <f t="shared" ca="1" si="33"/>
        <v>45824</v>
      </c>
      <c r="C567" t="str" cm="1">
        <f t="array" aca="1" ref="C567" ca="1">INDEX(Products!$A$2:$A$9,RANDBETWEEN(1,8))</f>
        <v>Away Jersey</v>
      </c>
      <c r="D567" t="str">
        <f ca="1">_xlfn.XLOOKUP(C567,Products!A:A,Products!B:B)</f>
        <v>Jerseys</v>
      </c>
      <c r="E567" t="str" cm="1">
        <f t="array" aca="1" ref="E567" ca="1">INDEX(Regions!$A$2:$A$7,RANDBETWEEN(1,6))</f>
        <v>Belfast</v>
      </c>
      <c r="F567">
        <f t="shared" ca="1" si="34"/>
        <v>5</v>
      </c>
      <c r="G567">
        <f ca="1">VLOOKUP(C567,Products!$A$2:$C$9,3,FALSE)</f>
        <v>80</v>
      </c>
      <c r="H567">
        <f t="shared" ca="1" si="35"/>
        <v>400</v>
      </c>
    </row>
    <row r="568" spans="1:8" x14ac:dyDescent="0.35">
      <c r="A568">
        <f t="shared" si="32"/>
        <v>1567</v>
      </c>
      <c r="B568" s="2">
        <f t="shared" ca="1" si="33"/>
        <v>45344</v>
      </c>
      <c r="C568" t="str" cm="1">
        <f t="array" aca="1" ref="C568" ca="1">INDEX(Products!$A$2:$A$9,RANDBETWEEN(1,8))</f>
        <v>Football</v>
      </c>
      <c r="D568" t="str">
        <f ca="1">_xlfn.XLOOKUP(C568,Products!A:A,Products!B:B)</f>
        <v>Equipment</v>
      </c>
      <c r="E568" t="str" cm="1">
        <f t="array" aca="1" ref="E568" ca="1">INDEX(Regions!$A$2:$A$7,RANDBETWEEN(1,6))</f>
        <v>Dublin</v>
      </c>
      <c r="F568">
        <f t="shared" ca="1" si="34"/>
        <v>4</v>
      </c>
      <c r="G568">
        <f ca="1">VLOOKUP(C568,Products!$A$2:$C$9,3,FALSE)</f>
        <v>30</v>
      </c>
      <c r="H568">
        <f t="shared" ca="1" si="35"/>
        <v>120</v>
      </c>
    </row>
    <row r="569" spans="1:8" x14ac:dyDescent="0.35">
      <c r="A569">
        <f t="shared" si="32"/>
        <v>1568</v>
      </c>
      <c r="B569" s="2">
        <f t="shared" ca="1" si="33"/>
        <v>45948</v>
      </c>
      <c r="C569" t="str" cm="1">
        <f t="array" aca="1" ref="C569" ca="1">INDEX(Products!$A$2:$A$9,RANDBETWEEN(1,8))</f>
        <v>Scarf</v>
      </c>
      <c r="D569" t="str">
        <f ca="1">_xlfn.XLOOKUP(C569,Products!A:A,Products!B:B)</f>
        <v>Accessories</v>
      </c>
      <c r="E569" t="str" cm="1">
        <f t="array" aca="1" ref="E569" ca="1">INDEX(Regions!$A$2:$A$7,RANDBETWEEN(1,6))</f>
        <v>Cork</v>
      </c>
      <c r="F569">
        <f t="shared" ca="1" si="34"/>
        <v>5</v>
      </c>
      <c r="G569">
        <f ca="1">VLOOKUP(C569,Products!$A$2:$C$9,3,FALSE)</f>
        <v>20</v>
      </c>
      <c r="H569">
        <f t="shared" ca="1" si="35"/>
        <v>100</v>
      </c>
    </row>
    <row r="570" spans="1:8" x14ac:dyDescent="0.35">
      <c r="A570">
        <f t="shared" si="32"/>
        <v>1569</v>
      </c>
      <c r="B570" s="2">
        <f t="shared" ca="1" si="33"/>
        <v>45459</v>
      </c>
      <c r="C570" t="str" cm="1">
        <f t="array" aca="1" ref="C570" ca="1">INDEX(Products!$A$2:$A$9,RANDBETWEEN(1,8))</f>
        <v>Hat</v>
      </c>
      <c r="D570" t="str">
        <f ca="1">_xlfn.XLOOKUP(C570,Products!A:A,Products!B:B)</f>
        <v>Accessories</v>
      </c>
      <c r="E570" t="str" cm="1">
        <f t="array" aca="1" ref="E570" ca="1">INDEX(Regions!$A$2:$A$7,RANDBETWEEN(1,6))</f>
        <v>Waterford</v>
      </c>
      <c r="F570">
        <f t="shared" ca="1" si="34"/>
        <v>4</v>
      </c>
      <c r="G570">
        <f ca="1">VLOOKUP(C570,Products!$A$2:$C$9,3,FALSE)</f>
        <v>25</v>
      </c>
      <c r="H570">
        <f t="shared" ca="1" si="35"/>
        <v>100</v>
      </c>
    </row>
    <row r="571" spans="1:8" x14ac:dyDescent="0.35">
      <c r="A571">
        <f t="shared" si="32"/>
        <v>1570</v>
      </c>
      <c r="B571" s="2">
        <f t="shared" ca="1" si="33"/>
        <v>45723</v>
      </c>
      <c r="C571" t="str" cm="1">
        <f t="array" aca="1" ref="C571" ca="1">INDEX(Products!$A$2:$A$9,RANDBETWEEN(1,8))</f>
        <v>Hat</v>
      </c>
      <c r="D571" t="str">
        <f ca="1">_xlfn.XLOOKUP(C571,Products!A:A,Products!B:B)</f>
        <v>Accessories</v>
      </c>
      <c r="E571" t="str" cm="1">
        <f t="array" aca="1" ref="E571" ca="1">INDEX(Regions!$A$2:$A$7,RANDBETWEEN(1,6))</f>
        <v>Belfast</v>
      </c>
      <c r="F571">
        <f t="shared" ca="1" si="34"/>
        <v>2</v>
      </c>
      <c r="G571">
        <f ca="1">VLOOKUP(C571,Products!$A$2:$C$9,3,FALSE)</f>
        <v>25</v>
      </c>
      <c r="H571">
        <f t="shared" ca="1" si="35"/>
        <v>50</v>
      </c>
    </row>
    <row r="572" spans="1:8" x14ac:dyDescent="0.35">
      <c r="A572">
        <f t="shared" si="32"/>
        <v>1571</v>
      </c>
      <c r="B572" s="2">
        <f t="shared" ca="1" si="33"/>
        <v>45781</v>
      </c>
      <c r="C572" t="str" cm="1">
        <f t="array" aca="1" ref="C572" ca="1">INDEX(Products!$A$2:$A$9,RANDBETWEEN(1,8))</f>
        <v>Away Jersey</v>
      </c>
      <c r="D572" t="str">
        <f ca="1">_xlfn.XLOOKUP(C572,Products!A:A,Products!B:B)</f>
        <v>Jerseys</v>
      </c>
      <c r="E572" t="str" cm="1">
        <f t="array" aca="1" ref="E572" ca="1">INDEX(Regions!$A$2:$A$7,RANDBETWEEN(1,6))</f>
        <v>Waterford</v>
      </c>
      <c r="F572">
        <f t="shared" ca="1" si="34"/>
        <v>5</v>
      </c>
      <c r="G572">
        <f ca="1">VLOOKUP(C572,Products!$A$2:$C$9,3,FALSE)</f>
        <v>80</v>
      </c>
      <c r="H572">
        <f t="shared" ca="1" si="35"/>
        <v>400</v>
      </c>
    </row>
    <row r="573" spans="1:8" x14ac:dyDescent="0.35">
      <c r="A573">
        <f t="shared" si="32"/>
        <v>1572</v>
      </c>
      <c r="B573" s="2">
        <f t="shared" ca="1" si="33"/>
        <v>45648</v>
      </c>
      <c r="C573" t="str" cm="1">
        <f t="array" aca="1" ref="C573" ca="1">INDEX(Products!$A$2:$A$9,RANDBETWEEN(1,8))</f>
        <v>Jacket</v>
      </c>
      <c r="D573" t="str">
        <f ca="1">_xlfn.XLOOKUP(C573,Products!A:A,Products!B:B)</f>
        <v>Training Wear</v>
      </c>
      <c r="E573" t="str" cm="1">
        <f t="array" aca="1" ref="E573" ca="1">INDEX(Regions!$A$2:$A$7,RANDBETWEEN(1,6))</f>
        <v>Belfast</v>
      </c>
      <c r="F573">
        <f t="shared" ca="1" si="34"/>
        <v>3</v>
      </c>
      <c r="G573">
        <f ca="1">VLOOKUP(C573,Products!$A$2:$C$9,3,FALSE)</f>
        <v>90</v>
      </c>
      <c r="H573">
        <f t="shared" ca="1" si="35"/>
        <v>270</v>
      </c>
    </row>
    <row r="574" spans="1:8" x14ac:dyDescent="0.35">
      <c r="A574">
        <f t="shared" si="32"/>
        <v>1573</v>
      </c>
      <c r="B574" s="2">
        <f t="shared" ca="1" si="33"/>
        <v>45863</v>
      </c>
      <c r="C574" t="str" cm="1">
        <f t="array" aca="1" ref="C574" ca="1">INDEX(Products!$A$2:$A$9,RANDBETWEEN(1,8))</f>
        <v>Training Top</v>
      </c>
      <c r="D574" t="str">
        <f ca="1">_xlfn.XLOOKUP(C574,Products!A:A,Products!B:B)</f>
        <v>Training Wear</v>
      </c>
      <c r="E574" t="str" cm="1">
        <f t="array" aca="1" ref="E574" ca="1">INDEX(Regions!$A$2:$A$7,RANDBETWEEN(1,6))</f>
        <v>Limerick</v>
      </c>
      <c r="F574">
        <f t="shared" ca="1" si="34"/>
        <v>1</v>
      </c>
      <c r="G574">
        <f ca="1">VLOOKUP(C574,Products!$A$2:$C$9,3,FALSE)</f>
        <v>55</v>
      </c>
      <c r="H574">
        <f t="shared" ca="1" si="35"/>
        <v>55</v>
      </c>
    </row>
    <row r="575" spans="1:8" x14ac:dyDescent="0.35">
      <c r="A575">
        <f t="shared" si="32"/>
        <v>1574</v>
      </c>
      <c r="B575" s="2">
        <f t="shared" ca="1" si="33"/>
        <v>45574</v>
      </c>
      <c r="C575" t="str" cm="1">
        <f t="array" aca="1" ref="C575" ca="1">INDEX(Products!$A$2:$A$9,RANDBETWEEN(1,8))</f>
        <v>Away Jersey</v>
      </c>
      <c r="D575" t="str">
        <f ca="1">_xlfn.XLOOKUP(C575,Products!A:A,Products!B:B)</f>
        <v>Jerseys</v>
      </c>
      <c r="E575" t="str" cm="1">
        <f t="array" aca="1" ref="E575" ca="1">INDEX(Regions!$A$2:$A$7,RANDBETWEEN(1,6))</f>
        <v>Cork</v>
      </c>
      <c r="F575">
        <f t="shared" ca="1" si="34"/>
        <v>5</v>
      </c>
      <c r="G575">
        <f ca="1">VLOOKUP(C575,Products!$A$2:$C$9,3,FALSE)</f>
        <v>80</v>
      </c>
      <c r="H575">
        <f t="shared" ca="1" si="35"/>
        <v>400</v>
      </c>
    </row>
    <row r="576" spans="1:8" x14ac:dyDescent="0.35">
      <c r="A576">
        <f t="shared" si="32"/>
        <v>1575</v>
      </c>
      <c r="B576" s="2">
        <f t="shared" ca="1" si="33"/>
        <v>45524</v>
      </c>
      <c r="C576" t="str" cm="1">
        <f t="array" aca="1" ref="C576" ca="1">INDEX(Products!$A$2:$A$9,RANDBETWEEN(1,8))</f>
        <v>Hat</v>
      </c>
      <c r="D576" t="str">
        <f ca="1">_xlfn.XLOOKUP(C576,Products!A:A,Products!B:B)</f>
        <v>Accessories</v>
      </c>
      <c r="E576" t="str" cm="1">
        <f t="array" aca="1" ref="E576" ca="1">INDEX(Regions!$A$2:$A$7,RANDBETWEEN(1,6))</f>
        <v>Galway</v>
      </c>
      <c r="F576">
        <f t="shared" ca="1" si="34"/>
        <v>4</v>
      </c>
      <c r="G576">
        <f ca="1">VLOOKUP(C576,Products!$A$2:$C$9,3,FALSE)</f>
        <v>25</v>
      </c>
      <c r="H576">
        <f t="shared" ca="1" si="35"/>
        <v>100</v>
      </c>
    </row>
    <row r="577" spans="1:8" x14ac:dyDescent="0.35">
      <c r="A577">
        <f t="shared" si="32"/>
        <v>1576</v>
      </c>
      <c r="B577" s="2">
        <f t="shared" ca="1" si="33"/>
        <v>45322</v>
      </c>
      <c r="C577" t="str" cm="1">
        <f t="array" aca="1" ref="C577" ca="1">INDEX(Products!$A$2:$A$9,RANDBETWEEN(1,8))</f>
        <v>Jacket</v>
      </c>
      <c r="D577" t="str">
        <f ca="1">_xlfn.XLOOKUP(C577,Products!A:A,Products!B:B)</f>
        <v>Training Wear</v>
      </c>
      <c r="E577" t="str" cm="1">
        <f t="array" aca="1" ref="E577" ca="1">INDEX(Regions!$A$2:$A$7,RANDBETWEEN(1,6))</f>
        <v>Galway</v>
      </c>
      <c r="F577">
        <f t="shared" ca="1" si="34"/>
        <v>5</v>
      </c>
      <c r="G577">
        <f ca="1">VLOOKUP(C577,Products!$A$2:$C$9,3,FALSE)</f>
        <v>90</v>
      </c>
      <c r="H577">
        <f t="shared" ca="1" si="35"/>
        <v>450</v>
      </c>
    </row>
    <row r="578" spans="1:8" x14ac:dyDescent="0.35">
      <c r="A578">
        <f t="shared" si="32"/>
        <v>1577</v>
      </c>
      <c r="B578" s="2">
        <f t="shared" ca="1" si="33"/>
        <v>45414</v>
      </c>
      <c r="C578" t="str" cm="1">
        <f t="array" aca="1" ref="C578" ca="1">INDEX(Products!$A$2:$A$9,RANDBETWEEN(1,8))</f>
        <v>Hat</v>
      </c>
      <c r="D578" t="str">
        <f ca="1">_xlfn.XLOOKUP(C578,Products!A:A,Products!B:B)</f>
        <v>Accessories</v>
      </c>
      <c r="E578" t="str" cm="1">
        <f t="array" aca="1" ref="E578" ca="1">INDEX(Regions!$A$2:$A$7,RANDBETWEEN(1,6))</f>
        <v>Galway</v>
      </c>
      <c r="F578">
        <f t="shared" ca="1" si="34"/>
        <v>2</v>
      </c>
      <c r="G578">
        <f ca="1">VLOOKUP(C578,Products!$A$2:$C$9,3,FALSE)</f>
        <v>25</v>
      </c>
      <c r="H578">
        <f t="shared" ca="1" si="35"/>
        <v>50</v>
      </c>
    </row>
    <row r="579" spans="1:8" x14ac:dyDescent="0.35">
      <c r="A579">
        <f t="shared" ref="A579:A642" si="36">ROW()+999</f>
        <v>1578</v>
      </c>
      <c r="B579" s="2">
        <f t="shared" ref="B579:B642" ca="1" si="37">DATE(2024,1,1)+RANDBETWEEN(0,730)</f>
        <v>45949</v>
      </c>
      <c r="C579" t="str" cm="1">
        <f t="array" aca="1" ref="C579" ca="1">INDEX(Products!$A$2:$A$9,RANDBETWEEN(1,8))</f>
        <v>Away Jersey</v>
      </c>
      <c r="D579" t="str">
        <f ca="1">_xlfn.XLOOKUP(C579,Products!A:A,Products!B:B)</f>
        <v>Jerseys</v>
      </c>
      <c r="E579" t="str" cm="1">
        <f t="array" aca="1" ref="E579" ca="1">INDEX(Regions!$A$2:$A$7,RANDBETWEEN(1,6))</f>
        <v>Galway</v>
      </c>
      <c r="F579">
        <f t="shared" ref="F579:F642" ca="1" si="38">RANDBETWEEN(1,5)</f>
        <v>1</v>
      </c>
      <c r="G579">
        <f ca="1">VLOOKUP(C579,Products!$A$2:$C$9,3,FALSE)</f>
        <v>80</v>
      </c>
      <c r="H579">
        <f t="shared" ref="H579:H642" ca="1" si="39">F579*G579</f>
        <v>80</v>
      </c>
    </row>
    <row r="580" spans="1:8" x14ac:dyDescent="0.35">
      <c r="A580">
        <f t="shared" si="36"/>
        <v>1579</v>
      </c>
      <c r="B580" s="2">
        <f t="shared" ca="1" si="37"/>
        <v>45808</v>
      </c>
      <c r="C580" t="str" cm="1">
        <f t="array" aca="1" ref="C580" ca="1">INDEX(Products!$A$2:$A$9,RANDBETWEEN(1,8))</f>
        <v>Away Jersey</v>
      </c>
      <c r="D580" t="str">
        <f ca="1">_xlfn.XLOOKUP(C580,Products!A:A,Products!B:B)</f>
        <v>Jerseys</v>
      </c>
      <c r="E580" t="str" cm="1">
        <f t="array" aca="1" ref="E580" ca="1">INDEX(Regions!$A$2:$A$7,RANDBETWEEN(1,6))</f>
        <v>Limerick</v>
      </c>
      <c r="F580">
        <f t="shared" ca="1" si="38"/>
        <v>3</v>
      </c>
      <c r="G580">
        <f ca="1">VLOOKUP(C580,Products!$A$2:$C$9,3,FALSE)</f>
        <v>80</v>
      </c>
      <c r="H580">
        <f t="shared" ca="1" si="39"/>
        <v>240</v>
      </c>
    </row>
    <row r="581" spans="1:8" x14ac:dyDescent="0.35">
      <c r="A581">
        <f t="shared" si="36"/>
        <v>1580</v>
      </c>
      <c r="B581" s="2">
        <f t="shared" ca="1" si="37"/>
        <v>45586</v>
      </c>
      <c r="C581" t="str" cm="1">
        <f t="array" aca="1" ref="C581" ca="1">INDEX(Products!$A$2:$A$9,RANDBETWEEN(1,8))</f>
        <v>Away Jersey</v>
      </c>
      <c r="D581" t="str">
        <f ca="1">_xlfn.XLOOKUP(C581,Products!A:A,Products!B:B)</f>
        <v>Jerseys</v>
      </c>
      <c r="E581" t="str" cm="1">
        <f t="array" aca="1" ref="E581" ca="1">INDEX(Regions!$A$2:$A$7,RANDBETWEEN(1,6))</f>
        <v>Limerick</v>
      </c>
      <c r="F581">
        <f t="shared" ca="1" si="38"/>
        <v>2</v>
      </c>
      <c r="G581">
        <f ca="1">VLOOKUP(C581,Products!$A$2:$C$9,3,FALSE)</f>
        <v>80</v>
      </c>
      <c r="H581">
        <f t="shared" ca="1" si="39"/>
        <v>160</v>
      </c>
    </row>
    <row r="582" spans="1:8" x14ac:dyDescent="0.35">
      <c r="A582">
        <f t="shared" si="36"/>
        <v>1581</v>
      </c>
      <c r="B582" s="2">
        <f t="shared" ca="1" si="37"/>
        <v>45444</v>
      </c>
      <c r="C582" t="str" cm="1">
        <f t="array" aca="1" ref="C582" ca="1">INDEX(Products!$A$2:$A$9,RANDBETWEEN(1,8))</f>
        <v>Scarf</v>
      </c>
      <c r="D582" t="str">
        <f ca="1">_xlfn.XLOOKUP(C582,Products!A:A,Products!B:B)</f>
        <v>Accessories</v>
      </c>
      <c r="E582" t="str" cm="1">
        <f t="array" aca="1" ref="E582" ca="1">INDEX(Regions!$A$2:$A$7,RANDBETWEEN(1,6))</f>
        <v>Waterford</v>
      </c>
      <c r="F582">
        <f t="shared" ca="1" si="38"/>
        <v>2</v>
      </c>
      <c r="G582">
        <f ca="1">VLOOKUP(C582,Products!$A$2:$C$9,3,FALSE)</f>
        <v>20</v>
      </c>
      <c r="H582">
        <f t="shared" ca="1" si="39"/>
        <v>40</v>
      </c>
    </row>
    <row r="583" spans="1:8" x14ac:dyDescent="0.35">
      <c r="A583">
        <f t="shared" si="36"/>
        <v>1582</v>
      </c>
      <c r="B583" s="2">
        <f t="shared" ca="1" si="37"/>
        <v>45765</v>
      </c>
      <c r="C583" t="str" cm="1">
        <f t="array" aca="1" ref="C583" ca="1">INDEX(Products!$A$2:$A$9,RANDBETWEEN(1,8))</f>
        <v>Home Jersey</v>
      </c>
      <c r="D583" t="str">
        <f ca="1">_xlfn.XLOOKUP(C583,Products!A:A,Products!B:B)</f>
        <v>Jerseys</v>
      </c>
      <c r="E583" t="str" cm="1">
        <f t="array" aca="1" ref="E583" ca="1">INDEX(Regions!$A$2:$A$7,RANDBETWEEN(1,6))</f>
        <v>Belfast</v>
      </c>
      <c r="F583">
        <f t="shared" ca="1" si="38"/>
        <v>2</v>
      </c>
      <c r="G583">
        <f ca="1">VLOOKUP(C583,Products!$A$2:$C$9,3,FALSE)</f>
        <v>80</v>
      </c>
      <c r="H583">
        <f t="shared" ca="1" si="39"/>
        <v>160</v>
      </c>
    </row>
    <row r="584" spans="1:8" x14ac:dyDescent="0.35">
      <c r="A584">
        <f t="shared" si="36"/>
        <v>1583</v>
      </c>
      <c r="B584" s="2">
        <f t="shared" ca="1" si="37"/>
        <v>45917</v>
      </c>
      <c r="C584" t="str" cm="1">
        <f t="array" aca="1" ref="C584" ca="1">INDEX(Products!$A$2:$A$9,RANDBETWEEN(1,8))</f>
        <v>Jacket</v>
      </c>
      <c r="D584" t="str">
        <f ca="1">_xlfn.XLOOKUP(C584,Products!A:A,Products!B:B)</f>
        <v>Training Wear</v>
      </c>
      <c r="E584" t="str" cm="1">
        <f t="array" aca="1" ref="E584" ca="1">INDEX(Regions!$A$2:$A$7,RANDBETWEEN(1,6))</f>
        <v>Belfast</v>
      </c>
      <c r="F584">
        <f t="shared" ca="1" si="38"/>
        <v>4</v>
      </c>
      <c r="G584">
        <f ca="1">VLOOKUP(C584,Products!$A$2:$C$9,3,FALSE)</f>
        <v>90</v>
      </c>
      <c r="H584">
        <f t="shared" ca="1" si="39"/>
        <v>360</v>
      </c>
    </row>
    <row r="585" spans="1:8" x14ac:dyDescent="0.35">
      <c r="A585">
        <f t="shared" si="36"/>
        <v>1584</v>
      </c>
      <c r="B585" s="2">
        <f t="shared" ca="1" si="37"/>
        <v>45505</v>
      </c>
      <c r="C585" t="str" cm="1">
        <f t="array" aca="1" ref="C585" ca="1">INDEX(Products!$A$2:$A$9,RANDBETWEEN(1,8))</f>
        <v>Football</v>
      </c>
      <c r="D585" t="str">
        <f ca="1">_xlfn.XLOOKUP(C585,Products!A:A,Products!B:B)</f>
        <v>Equipment</v>
      </c>
      <c r="E585" t="str" cm="1">
        <f t="array" aca="1" ref="E585" ca="1">INDEX(Regions!$A$2:$A$7,RANDBETWEEN(1,6))</f>
        <v>Waterford</v>
      </c>
      <c r="F585">
        <f t="shared" ca="1" si="38"/>
        <v>1</v>
      </c>
      <c r="G585">
        <f ca="1">VLOOKUP(C585,Products!$A$2:$C$9,3,FALSE)</f>
        <v>30</v>
      </c>
      <c r="H585">
        <f t="shared" ca="1" si="39"/>
        <v>30</v>
      </c>
    </row>
    <row r="586" spans="1:8" x14ac:dyDescent="0.35">
      <c r="A586">
        <f t="shared" si="36"/>
        <v>1585</v>
      </c>
      <c r="B586" s="2">
        <f t="shared" ca="1" si="37"/>
        <v>45497</v>
      </c>
      <c r="C586" t="str" cm="1">
        <f t="array" aca="1" ref="C586" ca="1">INDEX(Products!$A$2:$A$9,RANDBETWEEN(1,8))</f>
        <v>Scarf</v>
      </c>
      <c r="D586" t="str">
        <f ca="1">_xlfn.XLOOKUP(C586,Products!A:A,Products!B:B)</f>
        <v>Accessories</v>
      </c>
      <c r="E586" t="str" cm="1">
        <f t="array" aca="1" ref="E586" ca="1">INDEX(Regions!$A$2:$A$7,RANDBETWEEN(1,6))</f>
        <v>Limerick</v>
      </c>
      <c r="F586">
        <f t="shared" ca="1" si="38"/>
        <v>1</v>
      </c>
      <c r="G586">
        <f ca="1">VLOOKUP(C586,Products!$A$2:$C$9,3,FALSE)</f>
        <v>20</v>
      </c>
      <c r="H586">
        <f t="shared" ca="1" si="39"/>
        <v>20</v>
      </c>
    </row>
    <row r="587" spans="1:8" x14ac:dyDescent="0.35">
      <c r="A587">
        <f t="shared" si="36"/>
        <v>1586</v>
      </c>
      <c r="B587" s="2">
        <f t="shared" ca="1" si="37"/>
        <v>45914</v>
      </c>
      <c r="C587" t="str" cm="1">
        <f t="array" aca="1" ref="C587" ca="1">INDEX(Products!$A$2:$A$9,RANDBETWEEN(1,8))</f>
        <v>Jacket</v>
      </c>
      <c r="D587" t="str">
        <f ca="1">_xlfn.XLOOKUP(C587,Products!A:A,Products!B:B)</f>
        <v>Training Wear</v>
      </c>
      <c r="E587" t="str" cm="1">
        <f t="array" aca="1" ref="E587" ca="1">INDEX(Regions!$A$2:$A$7,RANDBETWEEN(1,6))</f>
        <v>Galway</v>
      </c>
      <c r="F587">
        <f t="shared" ca="1" si="38"/>
        <v>4</v>
      </c>
      <c r="G587">
        <f ca="1">VLOOKUP(C587,Products!$A$2:$C$9,3,FALSE)</f>
        <v>90</v>
      </c>
      <c r="H587">
        <f t="shared" ca="1" si="39"/>
        <v>360</v>
      </c>
    </row>
    <row r="588" spans="1:8" x14ac:dyDescent="0.35">
      <c r="A588">
        <f t="shared" si="36"/>
        <v>1587</v>
      </c>
      <c r="B588" s="2">
        <f t="shared" ca="1" si="37"/>
        <v>45733</v>
      </c>
      <c r="C588" t="str" cm="1">
        <f t="array" aca="1" ref="C588" ca="1">INDEX(Products!$A$2:$A$9,RANDBETWEEN(1,8))</f>
        <v>Away Jersey</v>
      </c>
      <c r="D588" t="str">
        <f ca="1">_xlfn.XLOOKUP(C588,Products!A:A,Products!B:B)</f>
        <v>Jerseys</v>
      </c>
      <c r="E588" t="str" cm="1">
        <f t="array" aca="1" ref="E588" ca="1">INDEX(Regions!$A$2:$A$7,RANDBETWEEN(1,6))</f>
        <v>Galway</v>
      </c>
      <c r="F588">
        <f t="shared" ca="1" si="38"/>
        <v>3</v>
      </c>
      <c r="G588">
        <f ca="1">VLOOKUP(C588,Products!$A$2:$C$9,3,FALSE)</f>
        <v>80</v>
      </c>
      <c r="H588">
        <f t="shared" ca="1" si="39"/>
        <v>240</v>
      </c>
    </row>
    <row r="589" spans="1:8" x14ac:dyDescent="0.35">
      <c r="A589">
        <f t="shared" si="36"/>
        <v>1588</v>
      </c>
      <c r="B589" s="2">
        <f t="shared" ca="1" si="37"/>
        <v>45586</v>
      </c>
      <c r="C589" t="str" cm="1">
        <f t="array" aca="1" ref="C589" ca="1">INDEX(Products!$A$2:$A$9,RANDBETWEEN(1,8))</f>
        <v>Hat</v>
      </c>
      <c r="D589" t="str">
        <f ca="1">_xlfn.XLOOKUP(C589,Products!A:A,Products!B:B)</f>
        <v>Accessories</v>
      </c>
      <c r="E589" t="str" cm="1">
        <f t="array" aca="1" ref="E589" ca="1">INDEX(Regions!$A$2:$A$7,RANDBETWEEN(1,6))</f>
        <v>Limerick</v>
      </c>
      <c r="F589">
        <f t="shared" ca="1" si="38"/>
        <v>2</v>
      </c>
      <c r="G589">
        <f ca="1">VLOOKUP(C589,Products!$A$2:$C$9,3,FALSE)</f>
        <v>25</v>
      </c>
      <c r="H589">
        <f t="shared" ca="1" si="39"/>
        <v>50</v>
      </c>
    </row>
    <row r="590" spans="1:8" x14ac:dyDescent="0.35">
      <c r="A590">
        <f t="shared" si="36"/>
        <v>1589</v>
      </c>
      <c r="B590" s="2">
        <f t="shared" ca="1" si="37"/>
        <v>45507</v>
      </c>
      <c r="C590" t="str" cm="1">
        <f t="array" aca="1" ref="C590" ca="1">INDEX(Products!$A$2:$A$9,RANDBETWEEN(1,8))</f>
        <v>Scarf</v>
      </c>
      <c r="D590" t="str">
        <f ca="1">_xlfn.XLOOKUP(C590,Products!A:A,Products!B:B)</f>
        <v>Accessories</v>
      </c>
      <c r="E590" t="str" cm="1">
        <f t="array" aca="1" ref="E590" ca="1">INDEX(Regions!$A$2:$A$7,RANDBETWEEN(1,6))</f>
        <v>Waterford</v>
      </c>
      <c r="F590">
        <f t="shared" ca="1" si="38"/>
        <v>3</v>
      </c>
      <c r="G590">
        <f ca="1">VLOOKUP(C590,Products!$A$2:$C$9,3,FALSE)</f>
        <v>20</v>
      </c>
      <c r="H590">
        <f t="shared" ca="1" si="39"/>
        <v>60</v>
      </c>
    </row>
    <row r="591" spans="1:8" x14ac:dyDescent="0.35">
      <c r="A591">
        <f t="shared" si="36"/>
        <v>1590</v>
      </c>
      <c r="B591" s="2">
        <f t="shared" ca="1" si="37"/>
        <v>45433</v>
      </c>
      <c r="C591" t="str" cm="1">
        <f t="array" aca="1" ref="C591" ca="1">INDEX(Products!$A$2:$A$9,RANDBETWEEN(1,8))</f>
        <v>Scarf</v>
      </c>
      <c r="D591" t="str">
        <f ca="1">_xlfn.XLOOKUP(C591,Products!A:A,Products!B:B)</f>
        <v>Accessories</v>
      </c>
      <c r="E591" t="str" cm="1">
        <f t="array" aca="1" ref="E591" ca="1">INDEX(Regions!$A$2:$A$7,RANDBETWEEN(1,6))</f>
        <v>Limerick</v>
      </c>
      <c r="F591">
        <f t="shared" ca="1" si="38"/>
        <v>2</v>
      </c>
      <c r="G591">
        <f ca="1">VLOOKUP(C591,Products!$A$2:$C$9,3,FALSE)</f>
        <v>20</v>
      </c>
      <c r="H591">
        <f t="shared" ca="1" si="39"/>
        <v>40</v>
      </c>
    </row>
    <row r="592" spans="1:8" x14ac:dyDescent="0.35">
      <c r="A592">
        <f t="shared" si="36"/>
        <v>1591</v>
      </c>
      <c r="B592" s="2">
        <f t="shared" ca="1" si="37"/>
        <v>45765</v>
      </c>
      <c r="C592" t="str" cm="1">
        <f t="array" aca="1" ref="C592" ca="1">INDEX(Products!$A$2:$A$9,RANDBETWEEN(1,8))</f>
        <v>Jacket</v>
      </c>
      <c r="D592" t="str">
        <f ca="1">_xlfn.XLOOKUP(C592,Products!A:A,Products!B:B)</f>
        <v>Training Wear</v>
      </c>
      <c r="E592" t="str" cm="1">
        <f t="array" aca="1" ref="E592" ca="1">INDEX(Regions!$A$2:$A$7,RANDBETWEEN(1,6))</f>
        <v>Dublin</v>
      </c>
      <c r="F592">
        <f t="shared" ca="1" si="38"/>
        <v>3</v>
      </c>
      <c r="G592">
        <f ca="1">VLOOKUP(C592,Products!$A$2:$C$9,3,FALSE)</f>
        <v>90</v>
      </c>
      <c r="H592">
        <f t="shared" ca="1" si="39"/>
        <v>270</v>
      </c>
    </row>
    <row r="593" spans="1:8" x14ac:dyDescent="0.35">
      <c r="A593">
        <f t="shared" si="36"/>
        <v>1592</v>
      </c>
      <c r="B593" s="2">
        <f t="shared" ca="1" si="37"/>
        <v>45796</v>
      </c>
      <c r="C593" t="str" cm="1">
        <f t="array" aca="1" ref="C593" ca="1">INDEX(Products!$A$2:$A$9,RANDBETWEEN(1,8))</f>
        <v>Football</v>
      </c>
      <c r="D593" t="str">
        <f ca="1">_xlfn.XLOOKUP(C593,Products!A:A,Products!B:B)</f>
        <v>Equipment</v>
      </c>
      <c r="E593" t="str" cm="1">
        <f t="array" aca="1" ref="E593" ca="1">INDEX(Regions!$A$2:$A$7,RANDBETWEEN(1,6))</f>
        <v>Limerick</v>
      </c>
      <c r="F593">
        <f t="shared" ca="1" si="38"/>
        <v>2</v>
      </c>
      <c r="G593">
        <f ca="1">VLOOKUP(C593,Products!$A$2:$C$9,3,FALSE)</f>
        <v>30</v>
      </c>
      <c r="H593">
        <f t="shared" ca="1" si="39"/>
        <v>60</v>
      </c>
    </row>
    <row r="594" spans="1:8" x14ac:dyDescent="0.35">
      <c r="A594">
        <f t="shared" si="36"/>
        <v>1593</v>
      </c>
      <c r="B594" s="2">
        <f t="shared" ca="1" si="37"/>
        <v>45389</v>
      </c>
      <c r="C594" t="str" cm="1">
        <f t="array" aca="1" ref="C594" ca="1">INDEX(Products!$A$2:$A$9,RANDBETWEEN(1,8))</f>
        <v>Training Top</v>
      </c>
      <c r="D594" t="str">
        <f ca="1">_xlfn.XLOOKUP(C594,Products!A:A,Products!B:B)</f>
        <v>Training Wear</v>
      </c>
      <c r="E594" t="str" cm="1">
        <f t="array" aca="1" ref="E594" ca="1">INDEX(Regions!$A$2:$A$7,RANDBETWEEN(1,6))</f>
        <v>Limerick</v>
      </c>
      <c r="F594">
        <f t="shared" ca="1" si="38"/>
        <v>2</v>
      </c>
      <c r="G594">
        <f ca="1">VLOOKUP(C594,Products!$A$2:$C$9,3,FALSE)</f>
        <v>55</v>
      </c>
      <c r="H594">
        <f t="shared" ca="1" si="39"/>
        <v>110</v>
      </c>
    </row>
    <row r="595" spans="1:8" x14ac:dyDescent="0.35">
      <c r="A595">
        <f t="shared" si="36"/>
        <v>1594</v>
      </c>
      <c r="B595" s="2">
        <f t="shared" ca="1" si="37"/>
        <v>45827</v>
      </c>
      <c r="C595" t="str" cm="1">
        <f t="array" aca="1" ref="C595" ca="1">INDEX(Products!$A$2:$A$9,RANDBETWEEN(1,8))</f>
        <v>Home Jersey</v>
      </c>
      <c r="D595" t="str">
        <f ca="1">_xlfn.XLOOKUP(C595,Products!A:A,Products!B:B)</f>
        <v>Jerseys</v>
      </c>
      <c r="E595" t="str" cm="1">
        <f t="array" aca="1" ref="E595" ca="1">INDEX(Regions!$A$2:$A$7,RANDBETWEEN(1,6))</f>
        <v>Galway</v>
      </c>
      <c r="F595">
        <f t="shared" ca="1" si="38"/>
        <v>2</v>
      </c>
      <c r="G595">
        <f ca="1">VLOOKUP(C595,Products!$A$2:$C$9,3,FALSE)</f>
        <v>80</v>
      </c>
      <c r="H595">
        <f t="shared" ca="1" si="39"/>
        <v>160</v>
      </c>
    </row>
    <row r="596" spans="1:8" x14ac:dyDescent="0.35">
      <c r="A596">
        <f t="shared" si="36"/>
        <v>1595</v>
      </c>
      <c r="B596" s="2">
        <f t="shared" ca="1" si="37"/>
        <v>45360</v>
      </c>
      <c r="C596" t="str" cm="1">
        <f t="array" aca="1" ref="C596" ca="1">INDEX(Products!$A$2:$A$9,RANDBETWEEN(1,8))</f>
        <v>Training Top</v>
      </c>
      <c r="D596" t="str">
        <f ca="1">_xlfn.XLOOKUP(C596,Products!A:A,Products!B:B)</f>
        <v>Training Wear</v>
      </c>
      <c r="E596" t="str" cm="1">
        <f t="array" aca="1" ref="E596" ca="1">INDEX(Regions!$A$2:$A$7,RANDBETWEEN(1,6))</f>
        <v>Dublin</v>
      </c>
      <c r="F596">
        <f t="shared" ca="1" si="38"/>
        <v>2</v>
      </c>
      <c r="G596">
        <f ca="1">VLOOKUP(C596,Products!$A$2:$C$9,3,FALSE)</f>
        <v>55</v>
      </c>
      <c r="H596">
        <f t="shared" ca="1" si="39"/>
        <v>110</v>
      </c>
    </row>
    <row r="597" spans="1:8" x14ac:dyDescent="0.35">
      <c r="A597">
        <f t="shared" si="36"/>
        <v>1596</v>
      </c>
      <c r="B597" s="2">
        <f t="shared" ca="1" si="37"/>
        <v>45762</v>
      </c>
      <c r="C597" t="str" cm="1">
        <f t="array" aca="1" ref="C597" ca="1">INDEX(Products!$A$2:$A$9,RANDBETWEEN(1,8))</f>
        <v>Training Top</v>
      </c>
      <c r="D597" t="str">
        <f ca="1">_xlfn.XLOOKUP(C597,Products!A:A,Products!B:B)</f>
        <v>Training Wear</v>
      </c>
      <c r="E597" t="str" cm="1">
        <f t="array" aca="1" ref="E597" ca="1">INDEX(Regions!$A$2:$A$7,RANDBETWEEN(1,6))</f>
        <v>Belfast</v>
      </c>
      <c r="F597">
        <f t="shared" ca="1" si="38"/>
        <v>2</v>
      </c>
      <c r="G597">
        <f ca="1">VLOOKUP(C597,Products!$A$2:$C$9,3,FALSE)</f>
        <v>55</v>
      </c>
      <c r="H597">
        <f t="shared" ca="1" si="39"/>
        <v>110</v>
      </c>
    </row>
    <row r="598" spans="1:8" x14ac:dyDescent="0.35">
      <c r="A598">
        <f t="shared" si="36"/>
        <v>1597</v>
      </c>
      <c r="B598" s="2">
        <f t="shared" ca="1" si="37"/>
        <v>45372</v>
      </c>
      <c r="C598" t="str" cm="1">
        <f t="array" aca="1" ref="C598" ca="1">INDEX(Products!$A$2:$A$9,RANDBETWEEN(1,8))</f>
        <v>Jacket</v>
      </c>
      <c r="D598" t="str">
        <f ca="1">_xlfn.XLOOKUP(C598,Products!A:A,Products!B:B)</f>
        <v>Training Wear</v>
      </c>
      <c r="E598" t="str" cm="1">
        <f t="array" aca="1" ref="E598" ca="1">INDEX(Regions!$A$2:$A$7,RANDBETWEEN(1,6))</f>
        <v>Belfast</v>
      </c>
      <c r="F598">
        <f t="shared" ca="1" si="38"/>
        <v>4</v>
      </c>
      <c r="G598">
        <f ca="1">VLOOKUP(C598,Products!$A$2:$C$9,3,FALSE)</f>
        <v>90</v>
      </c>
      <c r="H598">
        <f t="shared" ca="1" si="39"/>
        <v>360</v>
      </c>
    </row>
    <row r="599" spans="1:8" x14ac:dyDescent="0.35">
      <c r="A599">
        <f t="shared" si="36"/>
        <v>1598</v>
      </c>
      <c r="B599" s="2">
        <f t="shared" ca="1" si="37"/>
        <v>45297</v>
      </c>
      <c r="C599" t="str" cm="1">
        <f t="array" aca="1" ref="C599" ca="1">INDEX(Products!$A$2:$A$9,RANDBETWEEN(1,8))</f>
        <v>Football</v>
      </c>
      <c r="D599" t="str">
        <f ca="1">_xlfn.XLOOKUP(C599,Products!A:A,Products!B:B)</f>
        <v>Equipment</v>
      </c>
      <c r="E599" t="str" cm="1">
        <f t="array" aca="1" ref="E599" ca="1">INDEX(Regions!$A$2:$A$7,RANDBETWEEN(1,6))</f>
        <v>Belfast</v>
      </c>
      <c r="F599">
        <f t="shared" ca="1" si="38"/>
        <v>4</v>
      </c>
      <c r="G599">
        <f ca="1">VLOOKUP(C599,Products!$A$2:$C$9,3,FALSE)</f>
        <v>30</v>
      </c>
      <c r="H599">
        <f t="shared" ca="1" si="39"/>
        <v>120</v>
      </c>
    </row>
    <row r="600" spans="1:8" x14ac:dyDescent="0.35">
      <c r="A600">
        <f t="shared" si="36"/>
        <v>1599</v>
      </c>
      <c r="B600" s="2">
        <f t="shared" ca="1" si="37"/>
        <v>45833</v>
      </c>
      <c r="C600" t="str" cm="1">
        <f t="array" aca="1" ref="C600" ca="1">INDEX(Products!$A$2:$A$9,RANDBETWEEN(1,8))</f>
        <v>Third Jersey</v>
      </c>
      <c r="D600" t="str">
        <f ca="1">_xlfn.XLOOKUP(C600,Products!A:A,Products!B:B)</f>
        <v>Jerseys</v>
      </c>
      <c r="E600" t="str" cm="1">
        <f t="array" aca="1" ref="E600" ca="1">INDEX(Regions!$A$2:$A$7,RANDBETWEEN(1,6))</f>
        <v>Cork</v>
      </c>
      <c r="F600">
        <f t="shared" ca="1" si="38"/>
        <v>3</v>
      </c>
      <c r="G600">
        <f ca="1">VLOOKUP(C600,Products!$A$2:$C$9,3,FALSE)</f>
        <v>85</v>
      </c>
      <c r="H600">
        <f t="shared" ca="1" si="39"/>
        <v>255</v>
      </c>
    </row>
    <row r="601" spans="1:8" x14ac:dyDescent="0.35">
      <c r="A601">
        <f t="shared" si="36"/>
        <v>1600</v>
      </c>
      <c r="B601" s="2">
        <f t="shared" ca="1" si="37"/>
        <v>45749</v>
      </c>
      <c r="C601" t="str" cm="1">
        <f t="array" aca="1" ref="C601" ca="1">INDEX(Products!$A$2:$A$9,RANDBETWEEN(1,8))</f>
        <v>Training Top</v>
      </c>
      <c r="D601" t="str">
        <f ca="1">_xlfn.XLOOKUP(C601,Products!A:A,Products!B:B)</f>
        <v>Training Wear</v>
      </c>
      <c r="E601" t="str" cm="1">
        <f t="array" aca="1" ref="E601" ca="1">INDEX(Regions!$A$2:$A$7,RANDBETWEEN(1,6))</f>
        <v>Waterford</v>
      </c>
      <c r="F601">
        <f t="shared" ca="1" si="38"/>
        <v>3</v>
      </c>
      <c r="G601">
        <f ca="1">VLOOKUP(C601,Products!$A$2:$C$9,3,FALSE)</f>
        <v>55</v>
      </c>
      <c r="H601">
        <f t="shared" ca="1" si="39"/>
        <v>165</v>
      </c>
    </row>
    <row r="602" spans="1:8" x14ac:dyDescent="0.35">
      <c r="A602">
        <f t="shared" si="36"/>
        <v>1601</v>
      </c>
      <c r="B602" s="2">
        <f t="shared" ca="1" si="37"/>
        <v>45989</v>
      </c>
      <c r="C602" t="str" cm="1">
        <f t="array" aca="1" ref="C602" ca="1">INDEX(Products!$A$2:$A$9,RANDBETWEEN(1,8))</f>
        <v>Training Top</v>
      </c>
      <c r="D602" t="str">
        <f ca="1">_xlfn.XLOOKUP(C602,Products!A:A,Products!B:B)</f>
        <v>Training Wear</v>
      </c>
      <c r="E602" t="str" cm="1">
        <f t="array" aca="1" ref="E602" ca="1">INDEX(Regions!$A$2:$A$7,RANDBETWEEN(1,6))</f>
        <v>Cork</v>
      </c>
      <c r="F602">
        <f t="shared" ca="1" si="38"/>
        <v>5</v>
      </c>
      <c r="G602">
        <f ca="1">VLOOKUP(C602,Products!$A$2:$C$9,3,FALSE)</f>
        <v>55</v>
      </c>
      <c r="H602">
        <f t="shared" ca="1" si="39"/>
        <v>275</v>
      </c>
    </row>
    <row r="603" spans="1:8" x14ac:dyDescent="0.35">
      <c r="A603">
        <f t="shared" si="36"/>
        <v>1602</v>
      </c>
      <c r="B603" s="2">
        <f t="shared" ca="1" si="37"/>
        <v>45449</v>
      </c>
      <c r="C603" t="str" cm="1">
        <f t="array" aca="1" ref="C603" ca="1">INDEX(Products!$A$2:$A$9,RANDBETWEEN(1,8))</f>
        <v>Scarf</v>
      </c>
      <c r="D603" t="str">
        <f ca="1">_xlfn.XLOOKUP(C603,Products!A:A,Products!B:B)</f>
        <v>Accessories</v>
      </c>
      <c r="E603" t="str" cm="1">
        <f t="array" aca="1" ref="E603" ca="1">INDEX(Regions!$A$2:$A$7,RANDBETWEEN(1,6))</f>
        <v>Belfast</v>
      </c>
      <c r="F603">
        <f t="shared" ca="1" si="38"/>
        <v>5</v>
      </c>
      <c r="G603">
        <f ca="1">VLOOKUP(C603,Products!$A$2:$C$9,3,FALSE)</f>
        <v>20</v>
      </c>
      <c r="H603">
        <f t="shared" ca="1" si="39"/>
        <v>100</v>
      </c>
    </row>
    <row r="604" spans="1:8" x14ac:dyDescent="0.35">
      <c r="A604">
        <f t="shared" si="36"/>
        <v>1603</v>
      </c>
      <c r="B604" s="2">
        <f t="shared" ca="1" si="37"/>
        <v>45868</v>
      </c>
      <c r="C604" t="str" cm="1">
        <f t="array" aca="1" ref="C604" ca="1">INDEX(Products!$A$2:$A$9,RANDBETWEEN(1,8))</f>
        <v>Home Jersey</v>
      </c>
      <c r="D604" t="str">
        <f ca="1">_xlfn.XLOOKUP(C604,Products!A:A,Products!B:B)</f>
        <v>Jerseys</v>
      </c>
      <c r="E604" t="str" cm="1">
        <f t="array" aca="1" ref="E604" ca="1">INDEX(Regions!$A$2:$A$7,RANDBETWEEN(1,6))</f>
        <v>Galway</v>
      </c>
      <c r="F604">
        <f t="shared" ca="1" si="38"/>
        <v>3</v>
      </c>
      <c r="G604">
        <f ca="1">VLOOKUP(C604,Products!$A$2:$C$9,3,FALSE)</f>
        <v>80</v>
      </c>
      <c r="H604">
        <f t="shared" ca="1" si="39"/>
        <v>240</v>
      </c>
    </row>
    <row r="605" spans="1:8" x14ac:dyDescent="0.35">
      <c r="A605">
        <f t="shared" si="36"/>
        <v>1604</v>
      </c>
      <c r="B605" s="2">
        <f t="shared" ca="1" si="37"/>
        <v>45392</v>
      </c>
      <c r="C605" t="str" cm="1">
        <f t="array" aca="1" ref="C605" ca="1">INDEX(Products!$A$2:$A$9,RANDBETWEEN(1,8))</f>
        <v>Football</v>
      </c>
      <c r="D605" t="str">
        <f ca="1">_xlfn.XLOOKUP(C605,Products!A:A,Products!B:B)</f>
        <v>Equipment</v>
      </c>
      <c r="E605" t="str" cm="1">
        <f t="array" aca="1" ref="E605" ca="1">INDEX(Regions!$A$2:$A$7,RANDBETWEEN(1,6))</f>
        <v>Galway</v>
      </c>
      <c r="F605">
        <f t="shared" ca="1" si="38"/>
        <v>5</v>
      </c>
      <c r="G605">
        <f ca="1">VLOOKUP(C605,Products!$A$2:$C$9,3,FALSE)</f>
        <v>30</v>
      </c>
      <c r="H605">
        <f t="shared" ca="1" si="39"/>
        <v>150</v>
      </c>
    </row>
    <row r="606" spans="1:8" x14ac:dyDescent="0.35">
      <c r="A606">
        <f t="shared" si="36"/>
        <v>1605</v>
      </c>
      <c r="B606" s="2">
        <f t="shared" ca="1" si="37"/>
        <v>45529</v>
      </c>
      <c r="C606" t="str" cm="1">
        <f t="array" aca="1" ref="C606" ca="1">INDEX(Products!$A$2:$A$9,RANDBETWEEN(1,8))</f>
        <v>Scarf</v>
      </c>
      <c r="D606" t="str">
        <f ca="1">_xlfn.XLOOKUP(C606,Products!A:A,Products!B:B)</f>
        <v>Accessories</v>
      </c>
      <c r="E606" t="str" cm="1">
        <f t="array" aca="1" ref="E606" ca="1">INDEX(Regions!$A$2:$A$7,RANDBETWEEN(1,6))</f>
        <v>Galway</v>
      </c>
      <c r="F606">
        <f t="shared" ca="1" si="38"/>
        <v>1</v>
      </c>
      <c r="G606">
        <f ca="1">VLOOKUP(C606,Products!$A$2:$C$9,3,FALSE)</f>
        <v>20</v>
      </c>
      <c r="H606">
        <f t="shared" ca="1" si="39"/>
        <v>20</v>
      </c>
    </row>
    <row r="607" spans="1:8" x14ac:dyDescent="0.35">
      <c r="A607">
        <f t="shared" si="36"/>
        <v>1606</v>
      </c>
      <c r="B607" s="2">
        <f t="shared" ca="1" si="37"/>
        <v>45759</v>
      </c>
      <c r="C607" t="str" cm="1">
        <f t="array" aca="1" ref="C607" ca="1">INDEX(Products!$A$2:$A$9,RANDBETWEEN(1,8))</f>
        <v>Third Jersey</v>
      </c>
      <c r="D607" t="str">
        <f ca="1">_xlfn.XLOOKUP(C607,Products!A:A,Products!B:B)</f>
        <v>Jerseys</v>
      </c>
      <c r="E607" t="str" cm="1">
        <f t="array" aca="1" ref="E607" ca="1">INDEX(Regions!$A$2:$A$7,RANDBETWEEN(1,6))</f>
        <v>Waterford</v>
      </c>
      <c r="F607">
        <f t="shared" ca="1" si="38"/>
        <v>2</v>
      </c>
      <c r="G607">
        <f ca="1">VLOOKUP(C607,Products!$A$2:$C$9,3,FALSE)</f>
        <v>85</v>
      </c>
      <c r="H607">
        <f t="shared" ca="1" si="39"/>
        <v>170</v>
      </c>
    </row>
    <row r="608" spans="1:8" x14ac:dyDescent="0.35">
      <c r="A608">
        <f t="shared" si="36"/>
        <v>1607</v>
      </c>
      <c r="B608" s="2">
        <f t="shared" ca="1" si="37"/>
        <v>45866</v>
      </c>
      <c r="C608" t="str" cm="1">
        <f t="array" aca="1" ref="C608" ca="1">INDEX(Products!$A$2:$A$9,RANDBETWEEN(1,8))</f>
        <v>Training Top</v>
      </c>
      <c r="D608" t="str">
        <f ca="1">_xlfn.XLOOKUP(C608,Products!A:A,Products!B:B)</f>
        <v>Training Wear</v>
      </c>
      <c r="E608" t="str" cm="1">
        <f t="array" aca="1" ref="E608" ca="1">INDEX(Regions!$A$2:$A$7,RANDBETWEEN(1,6))</f>
        <v>Limerick</v>
      </c>
      <c r="F608">
        <f t="shared" ca="1" si="38"/>
        <v>2</v>
      </c>
      <c r="G608">
        <f ca="1">VLOOKUP(C608,Products!$A$2:$C$9,3,FALSE)</f>
        <v>55</v>
      </c>
      <c r="H608">
        <f t="shared" ca="1" si="39"/>
        <v>110</v>
      </c>
    </row>
    <row r="609" spans="1:8" x14ac:dyDescent="0.35">
      <c r="A609">
        <f t="shared" si="36"/>
        <v>1608</v>
      </c>
      <c r="B609" s="2">
        <f t="shared" ca="1" si="37"/>
        <v>45374</v>
      </c>
      <c r="C609" t="str" cm="1">
        <f t="array" aca="1" ref="C609" ca="1">INDEX(Products!$A$2:$A$9,RANDBETWEEN(1,8))</f>
        <v>Away Jersey</v>
      </c>
      <c r="D609" t="str">
        <f ca="1">_xlfn.XLOOKUP(C609,Products!A:A,Products!B:B)</f>
        <v>Jerseys</v>
      </c>
      <c r="E609" t="str" cm="1">
        <f t="array" aca="1" ref="E609" ca="1">INDEX(Regions!$A$2:$A$7,RANDBETWEEN(1,6))</f>
        <v>Waterford</v>
      </c>
      <c r="F609">
        <f t="shared" ca="1" si="38"/>
        <v>4</v>
      </c>
      <c r="G609">
        <f ca="1">VLOOKUP(C609,Products!$A$2:$C$9,3,FALSE)</f>
        <v>80</v>
      </c>
      <c r="H609">
        <f t="shared" ca="1" si="39"/>
        <v>320</v>
      </c>
    </row>
    <row r="610" spans="1:8" x14ac:dyDescent="0.35">
      <c r="A610">
        <f t="shared" si="36"/>
        <v>1609</v>
      </c>
      <c r="B610" s="2">
        <f t="shared" ca="1" si="37"/>
        <v>45368</v>
      </c>
      <c r="C610" t="str" cm="1">
        <f t="array" aca="1" ref="C610" ca="1">INDEX(Products!$A$2:$A$9,RANDBETWEEN(1,8))</f>
        <v>Football</v>
      </c>
      <c r="D610" t="str">
        <f ca="1">_xlfn.XLOOKUP(C610,Products!A:A,Products!B:B)</f>
        <v>Equipment</v>
      </c>
      <c r="E610" t="str" cm="1">
        <f t="array" aca="1" ref="E610" ca="1">INDEX(Regions!$A$2:$A$7,RANDBETWEEN(1,6))</f>
        <v>Limerick</v>
      </c>
      <c r="F610">
        <f t="shared" ca="1" si="38"/>
        <v>2</v>
      </c>
      <c r="G610">
        <f ca="1">VLOOKUP(C610,Products!$A$2:$C$9,3,FALSE)</f>
        <v>30</v>
      </c>
      <c r="H610">
        <f t="shared" ca="1" si="39"/>
        <v>60</v>
      </c>
    </row>
    <row r="611" spans="1:8" x14ac:dyDescent="0.35">
      <c r="A611">
        <f t="shared" si="36"/>
        <v>1610</v>
      </c>
      <c r="B611" s="2">
        <f t="shared" ca="1" si="37"/>
        <v>45576</v>
      </c>
      <c r="C611" t="str" cm="1">
        <f t="array" aca="1" ref="C611" ca="1">INDEX(Products!$A$2:$A$9,RANDBETWEEN(1,8))</f>
        <v>Third Jersey</v>
      </c>
      <c r="D611" t="str">
        <f ca="1">_xlfn.XLOOKUP(C611,Products!A:A,Products!B:B)</f>
        <v>Jerseys</v>
      </c>
      <c r="E611" t="str" cm="1">
        <f t="array" aca="1" ref="E611" ca="1">INDEX(Regions!$A$2:$A$7,RANDBETWEEN(1,6))</f>
        <v>Cork</v>
      </c>
      <c r="F611">
        <f t="shared" ca="1" si="38"/>
        <v>3</v>
      </c>
      <c r="G611">
        <f ca="1">VLOOKUP(C611,Products!$A$2:$C$9,3,FALSE)</f>
        <v>85</v>
      </c>
      <c r="H611">
        <f t="shared" ca="1" si="39"/>
        <v>255</v>
      </c>
    </row>
    <row r="612" spans="1:8" x14ac:dyDescent="0.35">
      <c r="A612">
        <f t="shared" si="36"/>
        <v>1611</v>
      </c>
      <c r="B612" s="2">
        <f t="shared" ca="1" si="37"/>
        <v>45423</v>
      </c>
      <c r="C612" t="str" cm="1">
        <f t="array" aca="1" ref="C612" ca="1">INDEX(Products!$A$2:$A$9,RANDBETWEEN(1,8))</f>
        <v>Hat</v>
      </c>
      <c r="D612" t="str">
        <f ca="1">_xlfn.XLOOKUP(C612,Products!A:A,Products!B:B)</f>
        <v>Accessories</v>
      </c>
      <c r="E612" t="str" cm="1">
        <f t="array" aca="1" ref="E612" ca="1">INDEX(Regions!$A$2:$A$7,RANDBETWEEN(1,6))</f>
        <v>Waterford</v>
      </c>
      <c r="F612">
        <f t="shared" ca="1" si="38"/>
        <v>2</v>
      </c>
      <c r="G612">
        <f ca="1">VLOOKUP(C612,Products!$A$2:$C$9,3,FALSE)</f>
        <v>25</v>
      </c>
      <c r="H612">
        <f t="shared" ca="1" si="39"/>
        <v>50</v>
      </c>
    </row>
    <row r="613" spans="1:8" x14ac:dyDescent="0.35">
      <c r="A613">
        <f t="shared" si="36"/>
        <v>1612</v>
      </c>
      <c r="B613" s="2">
        <f t="shared" ca="1" si="37"/>
        <v>45466</v>
      </c>
      <c r="C613" t="str" cm="1">
        <f t="array" aca="1" ref="C613" ca="1">INDEX(Products!$A$2:$A$9,RANDBETWEEN(1,8))</f>
        <v>Training Top</v>
      </c>
      <c r="D613" t="str">
        <f ca="1">_xlfn.XLOOKUP(C613,Products!A:A,Products!B:B)</f>
        <v>Training Wear</v>
      </c>
      <c r="E613" t="str" cm="1">
        <f t="array" aca="1" ref="E613" ca="1">INDEX(Regions!$A$2:$A$7,RANDBETWEEN(1,6))</f>
        <v>Galway</v>
      </c>
      <c r="F613">
        <f t="shared" ca="1" si="38"/>
        <v>4</v>
      </c>
      <c r="G613">
        <f ca="1">VLOOKUP(C613,Products!$A$2:$C$9,3,FALSE)</f>
        <v>55</v>
      </c>
      <c r="H613">
        <f t="shared" ca="1" si="39"/>
        <v>220</v>
      </c>
    </row>
    <row r="614" spans="1:8" x14ac:dyDescent="0.35">
      <c r="A614">
        <f t="shared" si="36"/>
        <v>1613</v>
      </c>
      <c r="B614" s="2">
        <f t="shared" ca="1" si="37"/>
        <v>45454</v>
      </c>
      <c r="C614" t="str" cm="1">
        <f t="array" aca="1" ref="C614" ca="1">INDEX(Products!$A$2:$A$9,RANDBETWEEN(1,8))</f>
        <v>Training Top</v>
      </c>
      <c r="D614" t="str">
        <f ca="1">_xlfn.XLOOKUP(C614,Products!A:A,Products!B:B)</f>
        <v>Training Wear</v>
      </c>
      <c r="E614" t="str" cm="1">
        <f t="array" aca="1" ref="E614" ca="1">INDEX(Regions!$A$2:$A$7,RANDBETWEEN(1,6))</f>
        <v>Limerick</v>
      </c>
      <c r="F614">
        <f t="shared" ca="1" si="38"/>
        <v>4</v>
      </c>
      <c r="G614">
        <f ca="1">VLOOKUP(C614,Products!$A$2:$C$9,3,FALSE)</f>
        <v>55</v>
      </c>
      <c r="H614">
        <f t="shared" ca="1" si="39"/>
        <v>220</v>
      </c>
    </row>
    <row r="615" spans="1:8" x14ac:dyDescent="0.35">
      <c r="A615">
        <f t="shared" si="36"/>
        <v>1614</v>
      </c>
      <c r="B615" s="2">
        <f t="shared" ca="1" si="37"/>
        <v>45433</v>
      </c>
      <c r="C615" t="str" cm="1">
        <f t="array" aca="1" ref="C615" ca="1">INDEX(Products!$A$2:$A$9,RANDBETWEEN(1,8))</f>
        <v>Jacket</v>
      </c>
      <c r="D615" t="str">
        <f ca="1">_xlfn.XLOOKUP(C615,Products!A:A,Products!B:B)</f>
        <v>Training Wear</v>
      </c>
      <c r="E615" t="str" cm="1">
        <f t="array" aca="1" ref="E615" ca="1">INDEX(Regions!$A$2:$A$7,RANDBETWEEN(1,6))</f>
        <v>Dublin</v>
      </c>
      <c r="F615">
        <f t="shared" ca="1" si="38"/>
        <v>2</v>
      </c>
      <c r="G615">
        <f ca="1">VLOOKUP(C615,Products!$A$2:$C$9,3,FALSE)</f>
        <v>90</v>
      </c>
      <c r="H615">
        <f t="shared" ca="1" si="39"/>
        <v>180</v>
      </c>
    </row>
    <row r="616" spans="1:8" x14ac:dyDescent="0.35">
      <c r="A616">
        <f t="shared" si="36"/>
        <v>1615</v>
      </c>
      <c r="B616" s="2">
        <f t="shared" ca="1" si="37"/>
        <v>45372</v>
      </c>
      <c r="C616" t="str" cm="1">
        <f t="array" aca="1" ref="C616" ca="1">INDEX(Products!$A$2:$A$9,RANDBETWEEN(1,8))</f>
        <v>Hat</v>
      </c>
      <c r="D616" t="str">
        <f ca="1">_xlfn.XLOOKUP(C616,Products!A:A,Products!B:B)</f>
        <v>Accessories</v>
      </c>
      <c r="E616" t="str" cm="1">
        <f t="array" aca="1" ref="E616" ca="1">INDEX(Regions!$A$2:$A$7,RANDBETWEEN(1,6))</f>
        <v>Cork</v>
      </c>
      <c r="F616">
        <f t="shared" ca="1" si="38"/>
        <v>2</v>
      </c>
      <c r="G616">
        <f ca="1">VLOOKUP(C616,Products!$A$2:$C$9,3,FALSE)</f>
        <v>25</v>
      </c>
      <c r="H616">
        <f t="shared" ca="1" si="39"/>
        <v>50</v>
      </c>
    </row>
    <row r="617" spans="1:8" x14ac:dyDescent="0.35">
      <c r="A617">
        <f t="shared" si="36"/>
        <v>1616</v>
      </c>
      <c r="B617" s="2">
        <f t="shared" ca="1" si="37"/>
        <v>45502</v>
      </c>
      <c r="C617" t="str" cm="1">
        <f t="array" aca="1" ref="C617" ca="1">INDEX(Products!$A$2:$A$9,RANDBETWEEN(1,8))</f>
        <v>Away Jersey</v>
      </c>
      <c r="D617" t="str">
        <f ca="1">_xlfn.XLOOKUP(C617,Products!A:A,Products!B:B)</f>
        <v>Jerseys</v>
      </c>
      <c r="E617" t="str" cm="1">
        <f t="array" aca="1" ref="E617" ca="1">INDEX(Regions!$A$2:$A$7,RANDBETWEEN(1,6))</f>
        <v>Cork</v>
      </c>
      <c r="F617">
        <f t="shared" ca="1" si="38"/>
        <v>4</v>
      </c>
      <c r="G617">
        <f ca="1">VLOOKUP(C617,Products!$A$2:$C$9,3,FALSE)</f>
        <v>80</v>
      </c>
      <c r="H617">
        <f t="shared" ca="1" si="39"/>
        <v>320</v>
      </c>
    </row>
    <row r="618" spans="1:8" x14ac:dyDescent="0.35">
      <c r="A618">
        <f t="shared" si="36"/>
        <v>1617</v>
      </c>
      <c r="B618" s="2">
        <f t="shared" ca="1" si="37"/>
        <v>45756</v>
      </c>
      <c r="C618" t="str" cm="1">
        <f t="array" aca="1" ref="C618" ca="1">INDEX(Products!$A$2:$A$9,RANDBETWEEN(1,8))</f>
        <v>Home Jersey</v>
      </c>
      <c r="D618" t="str">
        <f ca="1">_xlfn.XLOOKUP(C618,Products!A:A,Products!B:B)</f>
        <v>Jerseys</v>
      </c>
      <c r="E618" t="str" cm="1">
        <f t="array" aca="1" ref="E618" ca="1">INDEX(Regions!$A$2:$A$7,RANDBETWEEN(1,6))</f>
        <v>Waterford</v>
      </c>
      <c r="F618">
        <f t="shared" ca="1" si="38"/>
        <v>3</v>
      </c>
      <c r="G618">
        <f ca="1">VLOOKUP(C618,Products!$A$2:$C$9,3,FALSE)</f>
        <v>80</v>
      </c>
      <c r="H618">
        <f t="shared" ca="1" si="39"/>
        <v>240</v>
      </c>
    </row>
    <row r="619" spans="1:8" x14ac:dyDescent="0.35">
      <c r="A619">
        <f t="shared" si="36"/>
        <v>1618</v>
      </c>
      <c r="B619" s="2">
        <f t="shared" ca="1" si="37"/>
        <v>45763</v>
      </c>
      <c r="C619" t="str" cm="1">
        <f t="array" aca="1" ref="C619" ca="1">INDEX(Products!$A$2:$A$9,RANDBETWEEN(1,8))</f>
        <v>Third Jersey</v>
      </c>
      <c r="D619" t="str">
        <f ca="1">_xlfn.XLOOKUP(C619,Products!A:A,Products!B:B)</f>
        <v>Jerseys</v>
      </c>
      <c r="E619" t="str" cm="1">
        <f t="array" aca="1" ref="E619" ca="1">INDEX(Regions!$A$2:$A$7,RANDBETWEEN(1,6))</f>
        <v>Belfast</v>
      </c>
      <c r="F619">
        <f t="shared" ca="1" si="38"/>
        <v>5</v>
      </c>
      <c r="G619">
        <f ca="1">VLOOKUP(C619,Products!$A$2:$C$9,3,FALSE)</f>
        <v>85</v>
      </c>
      <c r="H619">
        <f t="shared" ca="1" si="39"/>
        <v>425</v>
      </c>
    </row>
    <row r="620" spans="1:8" x14ac:dyDescent="0.35">
      <c r="A620">
        <f t="shared" si="36"/>
        <v>1619</v>
      </c>
      <c r="B620" s="2">
        <f t="shared" ca="1" si="37"/>
        <v>45301</v>
      </c>
      <c r="C620" t="str" cm="1">
        <f t="array" aca="1" ref="C620" ca="1">INDEX(Products!$A$2:$A$9,RANDBETWEEN(1,8))</f>
        <v>Football</v>
      </c>
      <c r="D620" t="str">
        <f ca="1">_xlfn.XLOOKUP(C620,Products!A:A,Products!B:B)</f>
        <v>Equipment</v>
      </c>
      <c r="E620" t="str" cm="1">
        <f t="array" aca="1" ref="E620" ca="1">INDEX(Regions!$A$2:$A$7,RANDBETWEEN(1,6))</f>
        <v>Cork</v>
      </c>
      <c r="F620">
        <f t="shared" ca="1" si="38"/>
        <v>5</v>
      </c>
      <c r="G620">
        <f ca="1">VLOOKUP(C620,Products!$A$2:$C$9,3,FALSE)</f>
        <v>30</v>
      </c>
      <c r="H620">
        <f t="shared" ca="1" si="39"/>
        <v>150</v>
      </c>
    </row>
    <row r="621" spans="1:8" x14ac:dyDescent="0.35">
      <c r="A621">
        <f t="shared" si="36"/>
        <v>1620</v>
      </c>
      <c r="B621" s="2">
        <f t="shared" ca="1" si="37"/>
        <v>45392</v>
      </c>
      <c r="C621" t="str" cm="1">
        <f t="array" aca="1" ref="C621" ca="1">INDEX(Products!$A$2:$A$9,RANDBETWEEN(1,8))</f>
        <v>Third Jersey</v>
      </c>
      <c r="D621" t="str">
        <f ca="1">_xlfn.XLOOKUP(C621,Products!A:A,Products!B:B)</f>
        <v>Jerseys</v>
      </c>
      <c r="E621" t="str" cm="1">
        <f t="array" aca="1" ref="E621" ca="1">INDEX(Regions!$A$2:$A$7,RANDBETWEEN(1,6))</f>
        <v>Dublin</v>
      </c>
      <c r="F621">
        <f t="shared" ca="1" si="38"/>
        <v>4</v>
      </c>
      <c r="G621">
        <f ca="1">VLOOKUP(C621,Products!$A$2:$C$9,3,FALSE)</f>
        <v>85</v>
      </c>
      <c r="H621">
        <f t="shared" ca="1" si="39"/>
        <v>340</v>
      </c>
    </row>
    <row r="622" spans="1:8" x14ac:dyDescent="0.35">
      <c r="A622">
        <f t="shared" si="36"/>
        <v>1621</v>
      </c>
      <c r="B622" s="2">
        <f t="shared" ca="1" si="37"/>
        <v>45778</v>
      </c>
      <c r="C622" t="str" cm="1">
        <f t="array" aca="1" ref="C622" ca="1">INDEX(Products!$A$2:$A$9,RANDBETWEEN(1,8))</f>
        <v>Third Jersey</v>
      </c>
      <c r="D622" t="str">
        <f ca="1">_xlfn.XLOOKUP(C622,Products!A:A,Products!B:B)</f>
        <v>Jerseys</v>
      </c>
      <c r="E622" t="str" cm="1">
        <f t="array" aca="1" ref="E622" ca="1">INDEX(Regions!$A$2:$A$7,RANDBETWEEN(1,6))</f>
        <v>Dublin</v>
      </c>
      <c r="F622">
        <f t="shared" ca="1" si="38"/>
        <v>3</v>
      </c>
      <c r="G622">
        <f ca="1">VLOOKUP(C622,Products!$A$2:$C$9,3,FALSE)</f>
        <v>85</v>
      </c>
      <c r="H622">
        <f t="shared" ca="1" si="39"/>
        <v>255</v>
      </c>
    </row>
    <row r="623" spans="1:8" x14ac:dyDescent="0.35">
      <c r="A623">
        <f t="shared" si="36"/>
        <v>1622</v>
      </c>
      <c r="B623" s="2">
        <f t="shared" ca="1" si="37"/>
        <v>45770</v>
      </c>
      <c r="C623" t="str" cm="1">
        <f t="array" aca="1" ref="C623" ca="1">INDEX(Products!$A$2:$A$9,RANDBETWEEN(1,8))</f>
        <v>Third Jersey</v>
      </c>
      <c r="D623" t="str">
        <f ca="1">_xlfn.XLOOKUP(C623,Products!A:A,Products!B:B)</f>
        <v>Jerseys</v>
      </c>
      <c r="E623" t="str" cm="1">
        <f t="array" aca="1" ref="E623" ca="1">INDEX(Regions!$A$2:$A$7,RANDBETWEEN(1,6))</f>
        <v>Cork</v>
      </c>
      <c r="F623">
        <f t="shared" ca="1" si="38"/>
        <v>1</v>
      </c>
      <c r="G623">
        <f ca="1">VLOOKUP(C623,Products!$A$2:$C$9,3,FALSE)</f>
        <v>85</v>
      </c>
      <c r="H623">
        <f t="shared" ca="1" si="39"/>
        <v>85</v>
      </c>
    </row>
    <row r="624" spans="1:8" x14ac:dyDescent="0.35">
      <c r="A624">
        <f t="shared" si="36"/>
        <v>1623</v>
      </c>
      <c r="B624" s="2">
        <f t="shared" ca="1" si="37"/>
        <v>45518</v>
      </c>
      <c r="C624" t="str" cm="1">
        <f t="array" aca="1" ref="C624" ca="1">INDEX(Products!$A$2:$A$9,RANDBETWEEN(1,8))</f>
        <v>Jacket</v>
      </c>
      <c r="D624" t="str">
        <f ca="1">_xlfn.XLOOKUP(C624,Products!A:A,Products!B:B)</f>
        <v>Training Wear</v>
      </c>
      <c r="E624" t="str" cm="1">
        <f t="array" aca="1" ref="E624" ca="1">INDEX(Regions!$A$2:$A$7,RANDBETWEEN(1,6))</f>
        <v>Galway</v>
      </c>
      <c r="F624">
        <f t="shared" ca="1" si="38"/>
        <v>4</v>
      </c>
      <c r="G624">
        <f ca="1">VLOOKUP(C624,Products!$A$2:$C$9,3,FALSE)</f>
        <v>90</v>
      </c>
      <c r="H624">
        <f t="shared" ca="1" si="39"/>
        <v>360</v>
      </c>
    </row>
    <row r="625" spans="1:8" x14ac:dyDescent="0.35">
      <c r="A625">
        <f t="shared" si="36"/>
        <v>1624</v>
      </c>
      <c r="B625" s="2">
        <f t="shared" ca="1" si="37"/>
        <v>45857</v>
      </c>
      <c r="C625" t="str" cm="1">
        <f t="array" aca="1" ref="C625" ca="1">INDEX(Products!$A$2:$A$9,RANDBETWEEN(1,8))</f>
        <v>Football</v>
      </c>
      <c r="D625" t="str">
        <f ca="1">_xlfn.XLOOKUP(C625,Products!A:A,Products!B:B)</f>
        <v>Equipment</v>
      </c>
      <c r="E625" t="str" cm="1">
        <f t="array" aca="1" ref="E625" ca="1">INDEX(Regions!$A$2:$A$7,RANDBETWEEN(1,6))</f>
        <v>Belfast</v>
      </c>
      <c r="F625">
        <f t="shared" ca="1" si="38"/>
        <v>1</v>
      </c>
      <c r="G625">
        <f ca="1">VLOOKUP(C625,Products!$A$2:$C$9,3,FALSE)</f>
        <v>30</v>
      </c>
      <c r="H625">
        <f t="shared" ca="1" si="39"/>
        <v>30</v>
      </c>
    </row>
    <row r="626" spans="1:8" x14ac:dyDescent="0.35">
      <c r="A626">
        <f t="shared" si="36"/>
        <v>1625</v>
      </c>
      <c r="B626" s="2">
        <f t="shared" ca="1" si="37"/>
        <v>45817</v>
      </c>
      <c r="C626" t="str" cm="1">
        <f t="array" aca="1" ref="C626" ca="1">INDEX(Products!$A$2:$A$9,RANDBETWEEN(1,8))</f>
        <v>Jacket</v>
      </c>
      <c r="D626" t="str">
        <f ca="1">_xlfn.XLOOKUP(C626,Products!A:A,Products!B:B)</f>
        <v>Training Wear</v>
      </c>
      <c r="E626" t="str" cm="1">
        <f t="array" aca="1" ref="E626" ca="1">INDEX(Regions!$A$2:$A$7,RANDBETWEEN(1,6))</f>
        <v>Cork</v>
      </c>
      <c r="F626">
        <f t="shared" ca="1" si="38"/>
        <v>5</v>
      </c>
      <c r="G626">
        <f ca="1">VLOOKUP(C626,Products!$A$2:$C$9,3,FALSE)</f>
        <v>90</v>
      </c>
      <c r="H626">
        <f t="shared" ca="1" si="39"/>
        <v>450</v>
      </c>
    </row>
    <row r="627" spans="1:8" x14ac:dyDescent="0.35">
      <c r="A627">
        <f t="shared" si="36"/>
        <v>1626</v>
      </c>
      <c r="B627" s="2">
        <f t="shared" ca="1" si="37"/>
        <v>45560</v>
      </c>
      <c r="C627" t="str" cm="1">
        <f t="array" aca="1" ref="C627" ca="1">INDEX(Products!$A$2:$A$9,RANDBETWEEN(1,8))</f>
        <v>Football</v>
      </c>
      <c r="D627" t="str">
        <f ca="1">_xlfn.XLOOKUP(C627,Products!A:A,Products!B:B)</f>
        <v>Equipment</v>
      </c>
      <c r="E627" t="str" cm="1">
        <f t="array" aca="1" ref="E627" ca="1">INDEX(Regions!$A$2:$A$7,RANDBETWEEN(1,6))</f>
        <v>Belfast</v>
      </c>
      <c r="F627">
        <f t="shared" ca="1" si="38"/>
        <v>4</v>
      </c>
      <c r="G627">
        <f ca="1">VLOOKUP(C627,Products!$A$2:$C$9,3,FALSE)</f>
        <v>30</v>
      </c>
      <c r="H627">
        <f t="shared" ca="1" si="39"/>
        <v>120</v>
      </c>
    </row>
    <row r="628" spans="1:8" x14ac:dyDescent="0.35">
      <c r="A628">
        <f t="shared" si="36"/>
        <v>1627</v>
      </c>
      <c r="B628" s="2">
        <f t="shared" ca="1" si="37"/>
        <v>45312</v>
      </c>
      <c r="C628" t="str" cm="1">
        <f t="array" aca="1" ref="C628" ca="1">INDEX(Products!$A$2:$A$9,RANDBETWEEN(1,8))</f>
        <v>Home Jersey</v>
      </c>
      <c r="D628" t="str">
        <f ca="1">_xlfn.XLOOKUP(C628,Products!A:A,Products!B:B)</f>
        <v>Jerseys</v>
      </c>
      <c r="E628" t="str" cm="1">
        <f t="array" aca="1" ref="E628" ca="1">INDEX(Regions!$A$2:$A$7,RANDBETWEEN(1,6))</f>
        <v>Limerick</v>
      </c>
      <c r="F628">
        <f t="shared" ca="1" si="38"/>
        <v>4</v>
      </c>
      <c r="G628">
        <f ca="1">VLOOKUP(C628,Products!$A$2:$C$9,3,FALSE)</f>
        <v>80</v>
      </c>
      <c r="H628">
        <f t="shared" ca="1" si="39"/>
        <v>320</v>
      </c>
    </row>
    <row r="629" spans="1:8" x14ac:dyDescent="0.35">
      <c r="A629">
        <f t="shared" si="36"/>
        <v>1628</v>
      </c>
      <c r="B629" s="2">
        <f t="shared" ca="1" si="37"/>
        <v>45398</v>
      </c>
      <c r="C629" t="str" cm="1">
        <f t="array" aca="1" ref="C629" ca="1">INDEX(Products!$A$2:$A$9,RANDBETWEEN(1,8))</f>
        <v>Hat</v>
      </c>
      <c r="D629" t="str">
        <f ca="1">_xlfn.XLOOKUP(C629,Products!A:A,Products!B:B)</f>
        <v>Accessories</v>
      </c>
      <c r="E629" t="str" cm="1">
        <f t="array" aca="1" ref="E629" ca="1">INDEX(Regions!$A$2:$A$7,RANDBETWEEN(1,6))</f>
        <v>Belfast</v>
      </c>
      <c r="F629">
        <f t="shared" ca="1" si="38"/>
        <v>1</v>
      </c>
      <c r="G629">
        <f ca="1">VLOOKUP(C629,Products!$A$2:$C$9,3,FALSE)</f>
        <v>25</v>
      </c>
      <c r="H629">
        <f t="shared" ca="1" si="39"/>
        <v>25</v>
      </c>
    </row>
    <row r="630" spans="1:8" x14ac:dyDescent="0.35">
      <c r="A630">
        <f t="shared" si="36"/>
        <v>1629</v>
      </c>
      <c r="B630" s="2">
        <f t="shared" ca="1" si="37"/>
        <v>45869</v>
      </c>
      <c r="C630" t="str" cm="1">
        <f t="array" aca="1" ref="C630" ca="1">INDEX(Products!$A$2:$A$9,RANDBETWEEN(1,8))</f>
        <v>Football</v>
      </c>
      <c r="D630" t="str">
        <f ca="1">_xlfn.XLOOKUP(C630,Products!A:A,Products!B:B)</f>
        <v>Equipment</v>
      </c>
      <c r="E630" t="str" cm="1">
        <f t="array" aca="1" ref="E630" ca="1">INDEX(Regions!$A$2:$A$7,RANDBETWEEN(1,6))</f>
        <v>Belfast</v>
      </c>
      <c r="F630">
        <f t="shared" ca="1" si="38"/>
        <v>2</v>
      </c>
      <c r="G630">
        <f ca="1">VLOOKUP(C630,Products!$A$2:$C$9,3,FALSE)</f>
        <v>30</v>
      </c>
      <c r="H630">
        <f t="shared" ca="1" si="39"/>
        <v>60</v>
      </c>
    </row>
    <row r="631" spans="1:8" x14ac:dyDescent="0.35">
      <c r="A631">
        <f t="shared" si="36"/>
        <v>1630</v>
      </c>
      <c r="B631" s="2">
        <f t="shared" ca="1" si="37"/>
        <v>45539</v>
      </c>
      <c r="C631" t="str" cm="1">
        <f t="array" aca="1" ref="C631" ca="1">INDEX(Products!$A$2:$A$9,RANDBETWEEN(1,8))</f>
        <v>Scarf</v>
      </c>
      <c r="D631" t="str">
        <f ca="1">_xlfn.XLOOKUP(C631,Products!A:A,Products!B:B)</f>
        <v>Accessories</v>
      </c>
      <c r="E631" t="str" cm="1">
        <f t="array" aca="1" ref="E631" ca="1">INDEX(Regions!$A$2:$A$7,RANDBETWEEN(1,6))</f>
        <v>Limerick</v>
      </c>
      <c r="F631">
        <f t="shared" ca="1" si="38"/>
        <v>2</v>
      </c>
      <c r="G631">
        <f ca="1">VLOOKUP(C631,Products!$A$2:$C$9,3,FALSE)</f>
        <v>20</v>
      </c>
      <c r="H631">
        <f t="shared" ca="1" si="39"/>
        <v>40</v>
      </c>
    </row>
    <row r="632" spans="1:8" x14ac:dyDescent="0.35">
      <c r="A632">
        <f t="shared" si="36"/>
        <v>1631</v>
      </c>
      <c r="B632" s="2">
        <f t="shared" ca="1" si="37"/>
        <v>45657</v>
      </c>
      <c r="C632" t="str" cm="1">
        <f t="array" aca="1" ref="C632" ca="1">INDEX(Products!$A$2:$A$9,RANDBETWEEN(1,8))</f>
        <v>Away Jersey</v>
      </c>
      <c r="D632" t="str">
        <f ca="1">_xlfn.XLOOKUP(C632,Products!A:A,Products!B:B)</f>
        <v>Jerseys</v>
      </c>
      <c r="E632" t="str" cm="1">
        <f t="array" aca="1" ref="E632" ca="1">INDEX(Regions!$A$2:$A$7,RANDBETWEEN(1,6))</f>
        <v>Dublin</v>
      </c>
      <c r="F632">
        <f t="shared" ca="1" si="38"/>
        <v>2</v>
      </c>
      <c r="G632">
        <f ca="1">VLOOKUP(C632,Products!$A$2:$C$9,3,FALSE)</f>
        <v>80</v>
      </c>
      <c r="H632">
        <f t="shared" ca="1" si="39"/>
        <v>160</v>
      </c>
    </row>
    <row r="633" spans="1:8" x14ac:dyDescent="0.35">
      <c r="A633">
        <f t="shared" si="36"/>
        <v>1632</v>
      </c>
      <c r="B633" s="2">
        <f t="shared" ca="1" si="37"/>
        <v>45848</v>
      </c>
      <c r="C633" t="str" cm="1">
        <f t="array" aca="1" ref="C633" ca="1">INDEX(Products!$A$2:$A$9,RANDBETWEEN(1,8))</f>
        <v>Football</v>
      </c>
      <c r="D633" t="str">
        <f ca="1">_xlfn.XLOOKUP(C633,Products!A:A,Products!B:B)</f>
        <v>Equipment</v>
      </c>
      <c r="E633" t="str" cm="1">
        <f t="array" aca="1" ref="E633" ca="1">INDEX(Regions!$A$2:$A$7,RANDBETWEEN(1,6))</f>
        <v>Limerick</v>
      </c>
      <c r="F633">
        <f t="shared" ca="1" si="38"/>
        <v>2</v>
      </c>
      <c r="G633">
        <f ca="1">VLOOKUP(C633,Products!$A$2:$C$9,3,FALSE)</f>
        <v>30</v>
      </c>
      <c r="H633">
        <f t="shared" ca="1" si="39"/>
        <v>60</v>
      </c>
    </row>
    <row r="634" spans="1:8" x14ac:dyDescent="0.35">
      <c r="A634">
        <f t="shared" si="36"/>
        <v>1633</v>
      </c>
      <c r="B634" s="2">
        <f t="shared" ca="1" si="37"/>
        <v>45523</v>
      </c>
      <c r="C634" t="str" cm="1">
        <f t="array" aca="1" ref="C634" ca="1">INDEX(Products!$A$2:$A$9,RANDBETWEEN(1,8))</f>
        <v>Third Jersey</v>
      </c>
      <c r="D634" t="str">
        <f ca="1">_xlfn.XLOOKUP(C634,Products!A:A,Products!B:B)</f>
        <v>Jerseys</v>
      </c>
      <c r="E634" t="str" cm="1">
        <f t="array" aca="1" ref="E634" ca="1">INDEX(Regions!$A$2:$A$7,RANDBETWEEN(1,6))</f>
        <v>Dublin</v>
      </c>
      <c r="F634">
        <f t="shared" ca="1" si="38"/>
        <v>5</v>
      </c>
      <c r="G634">
        <f ca="1">VLOOKUP(C634,Products!$A$2:$C$9,3,FALSE)</f>
        <v>85</v>
      </c>
      <c r="H634">
        <f t="shared" ca="1" si="39"/>
        <v>425</v>
      </c>
    </row>
    <row r="635" spans="1:8" x14ac:dyDescent="0.35">
      <c r="A635">
        <f t="shared" si="36"/>
        <v>1634</v>
      </c>
      <c r="B635" s="2">
        <f t="shared" ca="1" si="37"/>
        <v>45842</v>
      </c>
      <c r="C635" t="str" cm="1">
        <f t="array" aca="1" ref="C635" ca="1">INDEX(Products!$A$2:$A$9,RANDBETWEEN(1,8))</f>
        <v>Scarf</v>
      </c>
      <c r="D635" t="str">
        <f ca="1">_xlfn.XLOOKUP(C635,Products!A:A,Products!B:B)</f>
        <v>Accessories</v>
      </c>
      <c r="E635" t="str" cm="1">
        <f t="array" aca="1" ref="E635" ca="1">INDEX(Regions!$A$2:$A$7,RANDBETWEEN(1,6))</f>
        <v>Cork</v>
      </c>
      <c r="F635">
        <f t="shared" ca="1" si="38"/>
        <v>2</v>
      </c>
      <c r="G635">
        <f ca="1">VLOOKUP(C635,Products!$A$2:$C$9,3,FALSE)</f>
        <v>20</v>
      </c>
      <c r="H635">
        <f t="shared" ca="1" si="39"/>
        <v>40</v>
      </c>
    </row>
    <row r="636" spans="1:8" x14ac:dyDescent="0.35">
      <c r="A636">
        <f t="shared" si="36"/>
        <v>1635</v>
      </c>
      <c r="B636" s="2">
        <f t="shared" ca="1" si="37"/>
        <v>45709</v>
      </c>
      <c r="C636" t="str" cm="1">
        <f t="array" aca="1" ref="C636" ca="1">INDEX(Products!$A$2:$A$9,RANDBETWEEN(1,8))</f>
        <v>Scarf</v>
      </c>
      <c r="D636" t="str">
        <f ca="1">_xlfn.XLOOKUP(C636,Products!A:A,Products!B:B)</f>
        <v>Accessories</v>
      </c>
      <c r="E636" t="str" cm="1">
        <f t="array" aca="1" ref="E636" ca="1">INDEX(Regions!$A$2:$A$7,RANDBETWEEN(1,6))</f>
        <v>Dublin</v>
      </c>
      <c r="F636">
        <f t="shared" ca="1" si="38"/>
        <v>5</v>
      </c>
      <c r="G636">
        <f ca="1">VLOOKUP(C636,Products!$A$2:$C$9,3,FALSE)</f>
        <v>20</v>
      </c>
      <c r="H636">
        <f t="shared" ca="1" si="39"/>
        <v>100</v>
      </c>
    </row>
    <row r="637" spans="1:8" x14ac:dyDescent="0.35">
      <c r="A637">
        <f t="shared" si="36"/>
        <v>1636</v>
      </c>
      <c r="B637" s="2">
        <f t="shared" ca="1" si="37"/>
        <v>45509</v>
      </c>
      <c r="C637" t="str" cm="1">
        <f t="array" aca="1" ref="C637" ca="1">INDEX(Products!$A$2:$A$9,RANDBETWEEN(1,8))</f>
        <v>Hat</v>
      </c>
      <c r="D637" t="str">
        <f ca="1">_xlfn.XLOOKUP(C637,Products!A:A,Products!B:B)</f>
        <v>Accessories</v>
      </c>
      <c r="E637" t="str" cm="1">
        <f t="array" aca="1" ref="E637" ca="1">INDEX(Regions!$A$2:$A$7,RANDBETWEEN(1,6))</f>
        <v>Limerick</v>
      </c>
      <c r="F637">
        <f t="shared" ca="1" si="38"/>
        <v>1</v>
      </c>
      <c r="G637">
        <f ca="1">VLOOKUP(C637,Products!$A$2:$C$9,3,FALSE)</f>
        <v>25</v>
      </c>
      <c r="H637">
        <f t="shared" ca="1" si="39"/>
        <v>25</v>
      </c>
    </row>
    <row r="638" spans="1:8" x14ac:dyDescent="0.35">
      <c r="A638">
        <f t="shared" si="36"/>
        <v>1637</v>
      </c>
      <c r="B638" s="2">
        <f t="shared" ca="1" si="37"/>
        <v>45631</v>
      </c>
      <c r="C638" t="str" cm="1">
        <f t="array" aca="1" ref="C638" ca="1">INDEX(Products!$A$2:$A$9,RANDBETWEEN(1,8))</f>
        <v>Third Jersey</v>
      </c>
      <c r="D638" t="str">
        <f ca="1">_xlfn.XLOOKUP(C638,Products!A:A,Products!B:B)</f>
        <v>Jerseys</v>
      </c>
      <c r="E638" t="str" cm="1">
        <f t="array" aca="1" ref="E638" ca="1">INDEX(Regions!$A$2:$A$7,RANDBETWEEN(1,6))</f>
        <v>Waterford</v>
      </c>
      <c r="F638">
        <f t="shared" ca="1" si="38"/>
        <v>3</v>
      </c>
      <c r="G638">
        <f ca="1">VLOOKUP(C638,Products!$A$2:$C$9,3,FALSE)</f>
        <v>85</v>
      </c>
      <c r="H638">
        <f t="shared" ca="1" si="39"/>
        <v>255</v>
      </c>
    </row>
    <row r="639" spans="1:8" x14ac:dyDescent="0.35">
      <c r="A639">
        <f t="shared" si="36"/>
        <v>1638</v>
      </c>
      <c r="B639" s="2">
        <f t="shared" ca="1" si="37"/>
        <v>45753</v>
      </c>
      <c r="C639" t="str" cm="1">
        <f t="array" aca="1" ref="C639" ca="1">INDEX(Products!$A$2:$A$9,RANDBETWEEN(1,8))</f>
        <v>Football</v>
      </c>
      <c r="D639" t="str">
        <f ca="1">_xlfn.XLOOKUP(C639,Products!A:A,Products!B:B)</f>
        <v>Equipment</v>
      </c>
      <c r="E639" t="str" cm="1">
        <f t="array" aca="1" ref="E639" ca="1">INDEX(Regions!$A$2:$A$7,RANDBETWEEN(1,6))</f>
        <v>Belfast</v>
      </c>
      <c r="F639">
        <f t="shared" ca="1" si="38"/>
        <v>3</v>
      </c>
      <c r="G639">
        <f ca="1">VLOOKUP(C639,Products!$A$2:$C$9,3,FALSE)</f>
        <v>30</v>
      </c>
      <c r="H639">
        <f t="shared" ca="1" si="39"/>
        <v>90</v>
      </c>
    </row>
    <row r="640" spans="1:8" x14ac:dyDescent="0.35">
      <c r="A640">
        <f t="shared" si="36"/>
        <v>1639</v>
      </c>
      <c r="B640" s="2">
        <f t="shared" ca="1" si="37"/>
        <v>45394</v>
      </c>
      <c r="C640" t="str" cm="1">
        <f t="array" aca="1" ref="C640" ca="1">INDEX(Products!$A$2:$A$9,RANDBETWEEN(1,8))</f>
        <v>Training Top</v>
      </c>
      <c r="D640" t="str">
        <f ca="1">_xlfn.XLOOKUP(C640,Products!A:A,Products!B:B)</f>
        <v>Training Wear</v>
      </c>
      <c r="E640" t="str" cm="1">
        <f t="array" aca="1" ref="E640" ca="1">INDEX(Regions!$A$2:$A$7,RANDBETWEEN(1,6))</f>
        <v>Galway</v>
      </c>
      <c r="F640">
        <f t="shared" ca="1" si="38"/>
        <v>4</v>
      </c>
      <c r="G640">
        <f ca="1">VLOOKUP(C640,Products!$A$2:$C$9,3,FALSE)</f>
        <v>55</v>
      </c>
      <c r="H640">
        <f t="shared" ca="1" si="39"/>
        <v>220</v>
      </c>
    </row>
    <row r="641" spans="1:8" x14ac:dyDescent="0.35">
      <c r="A641">
        <f t="shared" si="36"/>
        <v>1640</v>
      </c>
      <c r="B641" s="2">
        <f t="shared" ca="1" si="37"/>
        <v>45865</v>
      </c>
      <c r="C641" t="str" cm="1">
        <f t="array" aca="1" ref="C641" ca="1">INDEX(Products!$A$2:$A$9,RANDBETWEEN(1,8))</f>
        <v>Training Top</v>
      </c>
      <c r="D641" t="str">
        <f ca="1">_xlfn.XLOOKUP(C641,Products!A:A,Products!B:B)</f>
        <v>Training Wear</v>
      </c>
      <c r="E641" t="str" cm="1">
        <f t="array" aca="1" ref="E641" ca="1">INDEX(Regions!$A$2:$A$7,RANDBETWEEN(1,6))</f>
        <v>Belfast</v>
      </c>
      <c r="F641">
        <f t="shared" ca="1" si="38"/>
        <v>5</v>
      </c>
      <c r="G641">
        <f ca="1">VLOOKUP(C641,Products!$A$2:$C$9,3,FALSE)</f>
        <v>55</v>
      </c>
      <c r="H641">
        <f t="shared" ca="1" si="39"/>
        <v>275</v>
      </c>
    </row>
    <row r="642" spans="1:8" x14ac:dyDescent="0.35">
      <c r="A642">
        <f t="shared" si="36"/>
        <v>1641</v>
      </c>
      <c r="B642" s="2">
        <f t="shared" ca="1" si="37"/>
        <v>45599</v>
      </c>
      <c r="C642" t="str" cm="1">
        <f t="array" aca="1" ref="C642" ca="1">INDEX(Products!$A$2:$A$9,RANDBETWEEN(1,8))</f>
        <v>Scarf</v>
      </c>
      <c r="D642" t="str">
        <f ca="1">_xlfn.XLOOKUP(C642,Products!A:A,Products!B:B)</f>
        <v>Accessories</v>
      </c>
      <c r="E642" t="str" cm="1">
        <f t="array" aca="1" ref="E642" ca="1">INDEX(Regions!$A$2:$A$7,RANDBETWEEN(1,6))</f>
        <v>Galway</v>
      </c>
      <c r="F642">
        <f t="shared" ca="1" si="38"/>
        <v>3</v>
      </c>
      <c r="G642">
        <f ca="1">VLOOKUP(C642,Products!$A$2:$C$9,3,FALSE)</f>
        <v>20</v>
      </c>
      <c r="H642">
        <f t="shared" ca="1" si="39"/>
        <v>60</v>
      </c>
    </row>
    <row r="643" spans="1:8" x14ac:dyDescent="0.35">
      <c r="A643">
        <f t="shared" ref="A643:A706" si="40">ROW()+999</f>
        <v>1642</v>
      </c>
      <c r="B643" s="2">
        <f t="shared" ref="B643:B706" ca="1" si="41">DATE(2024,1,1)+RANDBETWEEN(0,730)</f>
        <v>45632</v>
      </c>
      <c r="C643" t="str" cm="1">
        <f t="array" aca="1" ref="C643" ca="1">INDEX(Products!$A$2:$A$9,RANDBETWEEN(1,8))</f>
        <v>Home Jersey</v>
      </c>
      <c r="D643" t="str">
        <f ca="1">_xlfn.XLOOKUP(C643,Products!A:A,Products!B:B)</f>
        <v>Jerseys</v>
      </c>
      <c r="E643" t="str" cm="1">
        <f t="array" aca="1" ref="E643" ca="1">INDEX(Regions!$A$2:$A$7,RANDBETWEEN(1,6))</f>
        <v>Belfast</v>
      </c>
      <c r="F643">
        <f t="shared" ref="F643:F706" ca="1" si="42">RANDBETWEEN(1,5)</f>
        <v>4</v>
      </c>
      <c r="G643">
        <f ca="1">VLOOKUP(C643,Products!$A$2:$C$9,3,FALSE)</f>
        <v>80</v>
      </c>
      <c r="H643">
        <f t="shared" ref="H643:H706" ca="1" si="43">F643*G643</f>
        <v>320</v>
      </c>
    </row>
    <row r="644" spans="1:8" x14ac:dyDescent="0.35">
      <c r="A644">
        <f t="shared" si="40"/>
        <v>1643</v>
      </c>
      <c r="B644" s="2">
        <f t="shared" ca="1" si="41"/>
        <v>45701</v>
      </c>
      <c r="C644" t="str" cm="1">
        <f t="array" aca="1" ref="C644" ca="1">INDEX(Products!$A$2:$A$9,RANDBETWEEN(1,8))</f>
        <v>Training Top</v>
      </c>
      <c r="D644" t="str">
        <f ca="1">_xlfn.XLOOKUP(C644,Products!A:A,Products!B:B)</f>
        <v>Training Wear</v>
      </c>
      <c r="E644" t="str" cm="1">
        <f t="array" aca="1" ref="E644" ca="1">INDEX(Regions!$A$2:$A$7,RANDBETWEEN(1,6))</f>
        <v>Galway</v>
      </c>
      <c r="F644">
        <f t="shared" ca="1" si="42"/>
        <v>5</v>
      </c>
      <c r="G644">
        <f ca="1">VLOOKUP(C644,Products!$A$2:$C$9,3,FALSE)</f>
        <v>55</v>
      </c>
      <c r="H644">
        <f t="shared" ca="1" si="43"/>
        <v>275</v>
      </c>
    </row>
    <row r="645" spans="1:8" x14ac:dyDescent="0.35">
      <c r="A645">
        <f t="shared" si="40"/>
        <v>1644</v>
      </c>
      <c r="B645" s="2">
        <f t="shared" ca="1" si="41"/>
        <v>45342</v>
      </c>
      <c r="C645" t="str" cm="1">
        <f t="array" aca="1" ref="C645" ca="1">INDEX(Products!$A$2:$A$9,RANDBETWEEN(1,8))</f>
        <v>Jacket</v>
      </c>
      <c r="D645" t="str">
        <f ca="1">_xlfn.XLOOKUP(C645,Products!A:A,Products!B:B)</f>
        <v>Training Wear</v>
      </c>
      <c r="E645" t="str" cm="1">
        <f t="array" aca="1" ref="E645" ca="1">INDEX(Regions!$A$2:$A$7,RANDBETWEEN(1,6))</f>
        <v>Limerick</v>
      </c>
      <c r="F645">
        <f t="shared" ca="1" si="42"/>
        <v>4</v>
      </c>
      <c r="G645">
        <f ca="1">VLOOKUP(C645,Products!$A$2:$C$9,3,FALSE)</f>
        <v>90</v>
      </c>
      <c r="H645">
        <f t="shared" ca="1" si="43"/>
        <v>360</v>
      </c>
    </row>
    <row r="646" spans="1:8" x14ac:dyDescent="0.35">
      <c r="A646">
        <f t="shared" si="40"/>
        <v>1645</v>
      </c>
      <c r="B646" s="2">
        <f t="shared" ca="1" si="41"/>
        <v>45609</v>
      </c>
      <c r="C646" t="str" cm="1">
        <f t="array" aca="1" ref="C646" ca="1">INDEX(Products!$A$2:$A$9,RANDBETWEEN(1,8))</f>
        <v>Away Jersey</v>
      </c>
      <c r="D646" t="str">
        <f ca="1">_xlfn.XLOOKUP(C646,Products!A:A,Products!B:B)</f>
        <v>Jerseys</v>
      </c>
      <c r="E646" t="str" cm="1">
        <f t="array" aca="1" ref="E646" ca="1">INDEX(Regions!$A$2:$A$7,RANDBETWEEN(1,6))</f>
        <v>Galway</v>
      </c>
      <c r="F646">
        <f t="shared" ca="1" si="42"/>
        <v>3</v>
      </c>
      <c r="G646">
        <f ca="1">VLOOKUP(C646,Products!$A$2:$C$9,3,FALSE)</f>
        <v>80</v>
      </c>
      <c r="H646">
        <f t="shared" ca="1" si="43"/>
        <v>240</v>
      </c>
    </row>
    <row r="647" spans="1:8" x14ac:dyDescent="0.35">
      <c r="A647">
        <f t="shared" si="40"/>
        <v>1646</v>
      </c>
      <c r="B647" s="2">
        <f t="shared" ca="1" si="41"/>
        <v>45336</v>
      </c>
      <c r="C647" t="str" cm="1">
        <f t="array" aca="1" ref="C647" ca="1">INDEX(Products!$A$2:$A$9,RANDBETWEEN(1,8))</f>
        <v>Scarf</v>
      </c>
      <c r="D647" t="str">
        <f ca="1">_xlfn.XLOOKUP(C647,Products!A:A,Products!B:B)</f>
        <v>Accessories</v>
      </c>
      <c r="E647" t="str" cm="1">
        <f t="array" aca="1" ref="E647" ca="1">INDEX(Regions!$A$2:$A$7,RANDBETWEEN(1,6))</f>
        <v>Waterford</v>
      </c>
      <c r="F647">
        <f t="shared" ca="1" si="42"/>
        <v>1</v>
      </c>
      <c r="G647">
        <f ca="1">VLOOKUP(C647,Products!$A$2:$C$9,3,FALSE)</f>
        <v>20</v>
      </c>
      <c r="H647">
        <f t="shared" ca="1" si="43"/>
        <v>20</v>
      </c>
    </row>
    <row r="648" spans="1:8" x14ac:dyDescent="0.35">
      <c r="A648">
        <f t="shared" si="40"/>
        <v>1647</v>
      </c>
      <c r="B648" s="2">
        <f t="shared" ca="1" si="41"/>
        <v>45761</v>
      </c>
      <c r="C648" t="str" cm="1">
        <f t="array" aca="1" ref="C648" ca="1">INDEX(Products!$A$2:$A$9,RANDBETWEEN(1,8))</f>
        <v>Hat</v>
      </c>
      <c r="D648" t="str">
        <f ca="1">_xlfn.XLOOKUP(C648,Products!A:A,Products!B:B)</f>
        <v>Accessories</v>
      </c>
      <c r="E648" t="str" cm="1">
        <f t="array" aca="1" ref="E648" ca="1">INDEX(Regions!$A$2:$A$7,RANDBETWEEN(1,6))</f>
        <v>Galway</v>
      </c>
      <c r="F648">
        <f t="shared" ca="1" si="42"/>
        <v>5</v>
      </c>
      <c r="G648">
        <f ca="1">VLOOKUP(C648,Products!$A$2:$C$9,3,FALSE)</f>
        <v>25</v>
      </c>
      <c r="H648">
        <f t="shared" ca="1" si="43"/>
        <v>125</v>
      </c>
    </row>
    <row r="649" spans="1:8" x14ac:dyDescent="0.35">
      <c r="A649">
        <f t="shared" si="40"/>
        <v>1648</v>
      </c>
      <c r="B649" s="2">
        <f t="shared" ca="1" si="41"/>
        <v>45355</v>
      </c>
      <c r="C649" t="str" cm="1">
        <f t="array" aca="1" ref="C649" ca="1">INDEX(Products!$A$2:$A$9,RANDBETWEEN(1,8))</f>
        <v>Jacket</v>
      </c>
      <c r="D649" t="str">
        <f ca="1">_xlfn.XLOOKUP(C649,Products!A:A,Products!B:B)</f>
        <v>Training Wear</v>
      </c>
      <c r="E649" t="str" cm="1">
        <f t="array" aca="1" ref="E649" ca="1">INDEX(Regions!$A$2:$A$7,RANDBETWEEN(1,6))</f>
        <v>Waterford</v>
      </c>
      <c r="F649">
        <f t="shared" ca="1" si="42"/>
        <v>3</v>
      </c>
      <c r="G649">
        <f ca="1">VLOOKUP(C649,Products!$A$2:$C$9,3,FALSE)</f>
        <v>90</v>
      </c>
      <c r="H649">
        <f t="shared" ca="1" si="43"/>
        <v>270</v>
      </c>
    </row>
    <row r="650" spans="1:8" x14ac:dyDescent="0.35">
      <c r="A650">
        <f t="shared" si="40"/>
        <v>1649</v>
      </c>
      <c r="B650" s="2">
        <f t="shared" ca="1" si="41"/>
        <v>45375</v>
      </c>
      <c r="C650" t="str" cm="1">
        <f t="array" aca="1" ref="C650" ca="1">INDEX(Products!$A$2:$A$9,RANDBETWEEN(1,8))</f>
        <v>Home Jersey</v>
      </c>
      <c r="D650" t="str">
        <f ca="1">_xlfn.XLOOKUP(C650,Products!A:A,Products!B:B)</f>
        <v>Jerseys</v>
      </c>
      <c r="E650" t="str" cm="1">
        <f t="array" aca="1" ref="E650" ca="1">INDEX(Regions!$A$2:$A$7,RANDBETWEEN(1,6))</f>
        <v>Belfast</v>
      </c>
      <c r="F650">
        <f t="shared" ca="1" si="42"/>
        <v>3</v>
      </c>
      <c r="G650">
        <f ca="1">VLOOKUP(C650,Products!$A$2:$C$9,3,FALSE)</f>
        <v>80</v>
      </c>
      <c r="H650">
        <f t="shared" ca="1" si="43"/>
        <v>240</v>
      </c>
    </row>
    <row r="651" spans="1:8" x14ac:dyDescent="0.35">
      <c r="A651">
        <f t="shared" si="40"/>
        <v>1650</v>
      </c>
      <c r="B651" s="2">
        <f t="shared" ca="1" si="41"/>
        <v>45368</v>
      </c>
      <c r="C651" t="str" cm="1">
        <f t="array" aca="1" ref="C651" ca="1">INDEX(Products!$A$2:$A$9,RANDBETWEEN(1,8))</f>
        <v>Home Jersey</v>
      </c>
      <c r="D651" t="str">
        <f ca="1">_xlfn.XLOOKUP(C651,Products!A:A,Products!B:B)</f>
        <v>Jerseys</v>
      </c>
      <c r="E651" t="str" cm="1">
        <f t="array" aca="1" ref="E651" ca="1">INDEX(Regions!$A$2:$A$7,RANDBETWEEN(1,6))</f>
        <v>Limerick</v>
      </c>
      <c r="F651">
        <f t="shared" ca="1" si="42"/>
        <v>3</v>
      </c>
      <c r="G651">
        <f ca="1">VLOOKUP(C651,Products!$A$2:$C$9,3,FALSE)</f>
        <v>80</v>
      </c>
      <c r="H651">
        <f t="shared" ca="1" si="43"/>
        <v>240</v>
      </c>
    </row>
    <row r="652" spans="1:8" x14ac:dyDescent="0.35">
      <c r="A652">
        <f t="shared" si="40"/>
        <v>1651</v>
      </c>
      <c r="B652" s="2">
        <f t="shared" ca="1" si="41"/>
        <v>45406</v>
      </c>
      <c r="C652" t="str" cm="1">
        <f t="array" aca="1" ref="C652" ca="1">INDEX(Products!$A$2:$A$9,RANDBETWEEN(1,8))</f>
        <v>Third Jersey</v>
      </c>
      <c r="D652" t="str">
        <f ca="1">_xlfn.XLOOKUP(C652,Products!A:A,Products!B:B)</f>
        <v>Jerseys</v>
      </c>
      <c r="E652" t="str" cm="1">
        <f t="array" aca="1" ref="E652" ca="1">INDEX(Regions!$A$2:$A$7,RANDBETWEEN(1,6))</f>
        <v>Belfast</v>
      </c>
      <c r="F652">
        <f t="shared" ca="1" si="42"/>
        <v>5</v>
      </c>
      <c r="G652">
        <f ca="1">VLOOKUP(C652,Products!$A$2:$C$9,3,FALSE)</f>
        <v>85</v>
      </c>
      <c r="H652">
        <f t="shared" ca="1" si="43"/>
        <v>425</v>
      </c>
    </row>
    <row r="653" spans="1:8" x14ac:dyDescent="0.35">
      <c r="A653">
        <f t="shared" si="40"/>
        <v>1652</v>
      </c>
      <c r="B653" s="2">
        <f t="shared" ca="1" si="41"/>
        <v>45911</v>
      </c>
      <c r="C653" t="str" cm="1">
        <f t="array" aca="1" ref="C653" ca="1">INDEX(Products!$A$2:$A$9,RANDBETWEEN(1,8))</f>
        <v>Third Jersey</v>
      </c>
      <c r="D653" t="str">
        <f ca="1">_xlfn.XLOOKUP(C653,Products!A:A,Products!B:B)</f>
        <v>Jerseys</v>
      </c>
      <c r="E653" t="str" cm="1">
        <f t="array" aca="1" ref="E653" ca="1">INDEX(Regions!$A$2:$A$7,RANDBETWEEN(1,6))</f>
        <v>Belfast</v>
      </c>
      <c r="F653">
        <f t="shared" ca="1" si="42"/>
        <v>1</v>
      </c>
      <c r="G653">
        <f ca="1">VLOOKUP(C653,Products!$A$2:$C$9,3,FALSE)</f>
        <v>85</v>
      </c>
      <c r="H653">
        <f t="shared" ca="1" si="43"/>
        <v>85</v>
      </c>
    </row>
    <row r="654" spans="1:8" x14ac:dyDescent="0.35">
      <c r="A654">
        <f t="shared" si="40"/>
        <v>1653</v>
      </c>
      <c r="B654" s="2">
        <f t="shared" ca="1" si="41"/>
        <v>45847</v>
      </c>
      <c r="C654" t="str" cm="1">
        <f t="array" aca="1" ref="C654" ca="1">INDEX(Products!$A$2:$A$9,RANDBETWEEN(1,8))</f>
        <v>Training Top</v>
      </c>
      <c r="D654" t="str">
        <f ca="1">_xlfn.XLOOKUP(C654,Products!A:A,Products!B:B)</f>
        <v>Training Wear</v>
      </c>
      <c r="E654" t="str" cm="1">
        <f t="array" aca="1" ref="E654" ca="1">INDEX(Regions!$A$2:$A$7,RANDBETWEEN(1,6))</f>
        <v>Belfast</v>
      </c>
      <c r="F654">
        <f t="shared" ca="1" si="42"/>
        <v>2</v>
      </c>
      <c r="G654">
        <f ca="1">VLOOKUP(C654,Products!$A$2:$C$9,3,FALSE)</f>
        <v>55</v>
      </c>
      <c r="H654">
        <f t="shared" ca="1" si="43"/>
        <v>110</v>
      </c>
    </row>
    <row r="655" spans="1:8" x14ac:dyDescent="0.35">
      <c r="A655">
        <f t="shared" si="40"/>
        <v>1654</v>
      </c>
      <c r="B655" s="2">
        <f t="shared" ca="1" si="41"/>
        <v>45891</v>
      </c>
      <c r="C655" t="str" cm="1">
        <f t="array" aca="1" ref="C655" ca="1">INDEX(Products!$A$2:$A$9,RANDBETWEEN(1,8))</f>
        <v>Scarf</v>
      </c>
      <c r="D655" t="str">
        <f ca="1">_xlfn.XLOOKUP(C655,Products!A:A,Products!B:B)</f>
        <v>Accessories</v>
      </c>
      <c r="E655" t="str" cm="1">
        <f t="array" aca="1" ref="E655" ca="1">INDEX(Regions!$A$2:$A$7,RANDBETWEEN(1,6))</f>
        <v>Dublin</v>
      </c>
      <c r="F655">
        <f t="shared" ca="1" si="42"/>
        <v>1</v>
      </c>
      <c r="G655">
        <f ca="1">VLOOKUP(C655,Products!$A$2:$C$9,3,FALSE)</f>
        <v>20</v>
      </c>
      <c r="H655">
        <f t="shared" ca="1" si="43"/>
        <v>20</v>
      </c>
    </row>
    <row r="656" spans="1:8" x14ac:dyDescent="0.35">
      <c r="A656">
        <f t="shared" si="40"/>
        <v>1655</v>
      </c>
      <c r="B656" s="2">
        <f t="shared" ca="1" si="41"/>
        <v>45908</v>
      </c>
      <c r="C656" t="str" cm="1">
        <f t="array" aca="1" ref="C656" ca="1">INDEX(Products!$A$2:$A$9,RANDBETWEEN(1,8))</f>
        <v>Jacket</v>
      </c>
      <c r="D656" t="str">
        <f ca="1">_xlfn.XLOOKUP(C656,Products!A:A,Products!B:B)</f>
        <v>Training Wear</v>
      </c>
      <c r="E656" t="str" cm="1">
        <f t="array" aca="1" ref="E656" ca="1">INDEX(Regions!$A$2:$A$7,RANDBETWEEN(1,6))</f>
        <v>Dublin</v>
      </c>
      <c r="F656">
        <f t="shared" ca="1" si="42"/>
        <v>1</v>
      </c>
      <c r="G656">
        <f ca="1">VLOOKUP(C656,Products!$A$2:$C$9,3,FALSE)</f>
        <v>90</v>
      </c>
      <c r="H656">
        <f t="shared" ca="1" si="43"/>
        <v>90</v>
      </c>
    </row>
    <row r="657" spans="1:8" x14ac:dyDescent="0.35">
      <c r="A657">
        <f t="shared" si="40"/>
        <v>1656</v>
      </c>
      <c r="B657" s="2">
        <f t="shared" ca="1" si="41"/>
        <v>45661</v>
      </c>
      <c r="C657" t="str" cm="1">
        <f t="array" aca="1" ref="C657" ca="1">INDEX(Products!$A$2:$A$9,RANDBETWEEN(1,8))</f>
        <v>Football</v>
      </c>
      <c r="D657" t="str">
        <f ca="1">_xlfn.XLOOKUP(C657,Products!A:A,Products!B:B)</f>
        <v>Equipment</v>
      </c>
      <c r="E657" t="str" cm="1">
        <f t="array" aca="1" ref="E657" ca="1">INDEX(Regions!$A$2:$A$7,RANDBETWEEN(1,6))</f>
        <v>Cork</v>
      </c>
      <c r="F657">
        <f t="shared" ca="1" si="42"/>
        <v>1</v>
      </c>
      <c r="G657">
        <f ca="1">VLOOKUP(C657,Products!$A$2:$C$9,3,FALSE)</f>
        <v>30</v>
      </c>
      <c r="H657">
        <f t="shared" ca="1" si="43"/>
        <v>30</v>
      </c>
    </row>
    <row r="658" spans="1:8" x14ac:dyDescent="0.35">
      <c r="A658">
        <f t="shared" si="40"/>
        <v>1657</v>
      </c>
      <c r="B658" s="2">
        <f t="shared" ca="1" si="41"/>
        <v>45405</v>
      </c>
      <c r="C658" t="str" cm="1">
        <f t="array" aca="1" ref="C658" ca="1">INDEX(Products!$A$2:$A$9,RANDBETWEEN(1,8))</f>
        <v>Scarf</v>
      </c>
      <c r="D658" t="str">
        <f ca="1">_xlfn.XLOOKUP(C658,Products!A:A,Products!B:B)</f>
        <v>Accessories</v>
      </c>
      <c r="E658" t="str" cm="1">
        <f t="array" aca="1" ref="E658" ca="1">INDEX(Regions!$A$2:$A$7,RANDBETWEEN(1,6))</f>
        <v>Cork</v>
      </c>
      <c r="F658">
        <f t="shared" ca="1" si="42"/>
        <v>4</v>
      </c>
      <c r="G658">
        <f ca="1">VLOOKUP(C658,Products!$A$2:$C$9,3,FALSE)</f>
        <v>20</v>
      </c>
      <c r="H658">
        <f t="shared" ca="1" si="43"/>
        <v>80</v>
      </c>
    </row>
    <row r="659" spans="1:8" x14ac:dyDescent="0.35">
      <c r="A659">
        <f t="shared" si="40"/>
        <v>1658</v>
      </c>
      <c r="B659" s="2">
        <f t="shared" ca="1" si="41"/>
        <v>45405</v>
      </c>
      <c r="C659" t="str" cm="1">
        <f t="array" aca="1" ref="C659" ca="1">INDEX(Products!$A$2:$A$9,RANDBETWEEN(1,8))</f>
        <v>Home Jersey</v>
      </c>
      <c r="D659" t="str">
        <f ca="1">_xlfn.XLOOKUP(C659,Products!A:A,Products!B:B)</f>
        <v>Jerseys</v>
      </c>
      <c r="E659" t="str" cm="1">
        <f t="array" aca="1" ref="E659" ca="1">INDEX(Regions!$A$2:$A$7,RANDBETWEEN(1,6))</f>
        <v>Waterford</v>
      </c>
      <c r="F659">
        <f t="shared" ca="1" si="42"/>
        <v>5</v>
      </c>
      <c r="G659">
        <f ca="1">VLOOKUP(C659,Products!$A$2:$C$9,3,FALSE)</f>
        <v>80</v>
      </c>
      <c r="H659">
        <f t="shared" ca="1" si="43"/>
        <v>400</v>
      </c>
    </row>
    <row r="660" spans="1:8" x14ac:dyDescent="0.35">
      <c r="A660">
        <f t="shared" si="40"/>
        <v>1659</v>
      </c>
      <c r="B660" s="2">
        <f t="shared" ca="1" si="41"/>
        <v>45849</v>
      </c>
      <c r="C660" t="str" cm="1">
        <f t="array" aca="1" ref="C660" ca="1">INDEX(Products!$A$2:$A$9,RANDBETWEEN(1,8))</f>
        <v>Jacket</v>
      </c>
      <c r="D660" t="str">
        <f ca="1">_xlfn.XLOOKUP(C660,Products!A:A,Products!B:B)</f>
        <v>Training Wear</v>
      </c>
      <c r="E660" t="str" cm="1">
        <f t="array" aca="1" ref="E660" ca="1">INDEX(Regions!$A$2:$A$7,RANDBETWEEN(1,6))</f>
        <v>Dublin</v>
      </c>
      <c r="F660">
        <f t="shared" ca="1" si="42"/>
        <v>1</v>
      </c>
      <c r="G660">
        <f ca="1">VLOOKUP(C660,Products!$A$2:$C$9,3,FALSE)</f>
        <v>90</v>
      </c>
      <c r="H660">
        <f t="shared" ca="1" si="43"/>
        <v>90</v>
      </c>
    </row>
    <row r="661" spans="1:8" x14ac:dyDescent="0.35">
      <c r="A661">
        <f t="shared" si="40"/>
        <v>1660</v>
      </c>
      <c r="B661" s="2">
        <f t="shared" ca="1" si="41"/>
        <v>45448</v>
      </c>
      <c r="C661" t="str" cm="1">
        <f t="array" aca="1" ref="C661" ca="1">INDEX(Products!$A$2:$A$9,RANDBETWEEN(1,8))</f>
        <v>Home Jersey</v>
      </c>
      <c r="D661" t="str">
        <f ca="1">_xlfn.XLOOKUP(C661,Products!A:A,Products!B:B)</f>
        <v>Jerseys</v>
      </c>
      <c r="E661" t="str" cm="1">
        <f t="array" aca="1" ref="E661" ca="1">INDEX(Regions!$A$2:$A$7,RANDBETWEEN(1,6))</f>
        <v>Waterford</v>
      </c>
      <c r="F661">
        <f t="shared" ca="1" si="42"/>
        <v>2</v>
      </c>
      <c r="G661">
        <f ca="1">VLOOKUP(C661,Products!$A$2:$C$9,3,FALSE)</f>
        <v>80</v>
      </c>
      <c r="H661">
        <f t="shared" ca="1" si="43"/>
        <v>160</v>
      </c>
    </row>
    <row r="662" spans="1:8" x14ac:dyDescent="0.35">
      <c r="A662">
        <f t="shared" si="40"/>
        <v>1661</v>
      </c>
      <c r="B662" s="2">
        <f t="shared" ca="1" si="41"/>
        <v>45957</v>
      </c>
      <c r="C662" t="str" cm="1">
        <f t="array" aca="1" ref="C662" ca="1">INDEX(Products!$A$2:$A$9,RANDBETWEEN(1,8))</f>
        <v>Training Top</v>
      </c>
      <c r="D662" t="str">
        <f ca="1">_xlfn.XLOOKUP(C662,Products!A:A,Products!B:B)</f>
        <v>Training Wear</v>
      </c>
      <c r="E662" t="str" cm="1">
        <f t="array" aca="1" ref="E662" ca="1">INDEX(Regions!$A$2:$A$7,RANDBETWEEN(1,6))</f>
        <v>Galway</v>
      </c>
      <c r="F662">
        <f t="shared" ca="1" si="42"/>
        <v>5</v>
      </c>
      <c r="G662">
        <f ca="1">VLOOKUP(C662,Products!$A$2:$C$9,3,FALSE)</f>
        <v>55</v>
      </c>
      <c r="H662">
        <f t="shared" ca="1" si="43"/>
        <v>275</v>
      </c>
    </row>
    <row r="663" spans="1:8" x14ac:dyDescent="0.35">
      <c r="A663">
        <f t="shared" si="40"/>
        <v>1662</v>
      </c>
      <c r="B663" s="2">
        <f t="shared" ca="1" si="41"/>
        <v>45898</v>
      </c>
      <c r="C663" t="str" cm="1">
        <f t="array" aca="1" ref="C663" ca="1">INDEX(Products!$A$2:$A$9,RANDBETWEEN(1,8))</f>
        <v>Away Jersey</v>
      </c>
      <c r="D663" t="str">
        <f ca="1">_xlfn.XLOOKUP(C663,Products!A:A,Products!B:B)</f>
        <v>Jerseys</v>
      </c>
      <c r="E663" t="str" cm="1">
        <f t="array" aca="1" ref="E663" ca="1">INDEX(Regions!$A$2:$A$7,RANDBETWEEN(1,6))</f>
        <v>Galway</v>
      </c>
      <c r="F663">
        <f t="shared" ca="1" si="42"/>
        <v>4</v>
      </c>
      <c r="G663">
        <f ca="1">VLOOKUP(C663,Products!$A$2:$C$9,3,FALSE)</f>
        <v>80</v>
      </c>
      <c r="H663">
        <f t="shared" ca="1" si="43"/>
        <v>320</v>
      </c>
    </row>
    <row r="664" spans="1:8" x14ac:dyDescent="0.35">
      <c r="A664">
        <f t="shared" si="40"/>
        <v>1663</v>
      </c>
      <c r="B664" s="2">
        <f t="shared" ca="1" si="41"/>
        <v>45631</v>
      </c>
      <c r="C664" t="str" cm="1">
        <f t="array" aca="1" ref="C664" ca="1">INDEX(Products!$A$2:$A$9,RANDBETWEEN(1,8))</f>
        <v>Football</v>
      </c>
      <c r="D664" t="str">
        <f ca="1">_xlfn.XLOOKUP(C664,Products!A:A,Products!B:B)</f>
        <v>Equipment</v>
      </c>
      <c r="E664" t="str" cm="1">
        <f t="array" aca="1" ref="E664" ca="1">INDEX(Regions!$A$2:$A$7,RANDBETWEEN(1,6))</f>
        <v>Limerick</v>
      </c>
      <c r="F664">
        <f t="shared" ca="1" si="42"/>
        <v>1</v>
      </c>
      <c r="G664">
        <f ca="1">VLOOKUP(C664,Products!$A$2:$C$9,3,FALSE)</f>
        <v>30</v>
      </c>
      <c r="H664">
        <f t="shared" ca="1" si="43"/>
        <v>30</v>
      </c>
    </row>
    <row r="665" spans="1:8" x14ac:dyDescent="0.35">
      <c r="A665">
        <f t="shared" si="40"/>
        <v>1664</v>
      </c>
      <c r="B665" s="2">
        <f t="shared" ca="1" si="41"/>
        <v>45770</v>
      </c>
      <c r="C665" t="str" cm="1">
        <f t="array" aca="1" ref="C665" ca="1">INDEX(Products!$A$2:$A$9,RANDBETWEEN(1,8))</f>
        <v>Football</v>
      </c>
      <c r="D665" t="str">
        <f ca="1">_xlfn.XLOOKUP(C665,Products!A:A,Products!B:B)</f>
        <v>Equipment</v>
      </c>
      <c r="E665" t="str" cm="1">
        <f t="array" aca="1" ref="E665" ca="1">INDEX(Regions!$A$2:$A$7,RANDBETWEEN(1,6))</f>
        <v>Belfast</v>
      </c>
      <c r="F665">
        <f t="shared" ca="1" si="42"/>
        <v>3</v>
      </c>
      <c r="G665">
        <f ca="1">VLOOKUP(C665,Products!$A$2:$C$9,3,FALSE)</f>
        <v>30</v>
      </c>
      <c r="H665">
        <f t="shared" ca="1" si="43"/>
        <v>90</v>
      </c>
    </row>
    <row r="666" spans="1:8" x14ac:dyDescent="0.35">
      <c r="A666">
        <f t="shared" si="40"/>
        <v>1665</v>
      </c>
      <c r="B666" s="2">
        <f t="shared" ca="1" si="41"/>
        <v>45703</v>
      </c>
      <c r="C666" t="str" cm="1">
        <f t="array" aca="1" ref="C666" ca="1">INDEX(Products!$A$2:$A$9,RANDBETWEEN(1,8))</f>
        <v>Football</v>
      </c>
      <c r="D666" t="str">
        <f ca="1">_xlfn.XLOOKUP(C666,Products!A:A,Products!B:B)</f>
        <v>Equipment</v>
      </c>
      <c r="E666" t="str" cm="1">
        <f t="array" aca="1" ref="E666" ca="1">INDEX(Regions!$A$2:$A$7,RANDBETWEEN(1,6))</f>
        <v>Cork</v>
      </c>
      <c r="F666">
        <f t="shared" ca="1" si="42"/>
        <v>4</v>
      </c>
      <c r="G666">
        <f ca="1">VLOOKUP(C666,Products!$A$2:$C$9,3,FALSE)</f>
        <v>30</v>
      </c>
      <c r="H666">
        <f t="shared" ca="1" si="43"/>
        <v>120</v>
      </c>
    </row>
    <row r="667" spans="1:8" x14ac:dyDescent="0.35">
      <c r="A667">
        <f t="shared" si="40"/>
        <v>1666</v>
      </c>
      <c r="B667" s="2">
        <f t="shared" ca="1" si="41"/>
        <v>45327</v>
      </c>
      <c r="C667" t="str" cm="1">
        <f t="array" aca="1" ref="C667" ca="1">INDEX(Products!$A$2:$A$9,RANDBETWEEN(1,8))</f>
        <v>Home Jersey</v>
      </c>
      <c r="D667" t="str">
        <f ca="1">_xlfn.XLOOKUP(C667,Products!A:A,Products!B:B)</f>
        <v>Jerseys</v>
      </c>
      <c r="E667" t="str" cm="1">
        <f t="array" aca="1" ref="E667" ca="1">INDEX(Regions!$A$2:$A$7,RANDBETWEEN(1,6))</f>
        <v>Dublin</v>
      </c>
      <c r="F667">
        <f t="shared" ca="1" si="42"/>
        <v>4</v>
      </c>
      <c r="G667">
        <f ca="1">VLOOKUP(C667,Products!$A$2:$C$9,3,FALSE)</f>
        <v>80</v>
      </c>
      <c r="H667">
        <f t="shared" ca="1" si="43"/>
        <v>320</v>
      </c>
    </row>
    <row r="668" spans="1:8" x14ac:dyDescent="0.35">
      <c r="A668">
        <f t="shared" si="40"/>
        <v>1667</v>
      </c>
      <c r="B668" s="2">
        <f t="shared" ca="1" si="41"/>
        <v>45748</v>
      </c>
      <c r="C668" t="str" cm="1">
        <f t="array" aca="1" ref="C668" ca="1">INDEX(Products!$A$2:$A$9,RANDBETWEEN(1,8))</f>
        <v>Hat</v>
      </c>
      <c r="D668" t="str">
        <f ca="1">_xlfn.XLOOKUP(C668,Products!A:A,Products!B:B)</f>
        <v>Accessories</v>
      </c>
      <c r="E668" t="str" cm="1">
        <f t="array" aca="1" ref="E668" ca="1">INDEX(Regions!$A$2:$A$7,RANDBETWEEN(1,6))</f>
        <v>Galway</v>
      </c>
      <c r="F668">
        <f t="shared" ca="1" si="42"/>
        <v>4</v>
      </c>
      <c r="G668">
        <f ca="1">VLOOKUP(C668,Products!$A$2:$C$9,3,FALSE)</f>
        <v>25</v>
      </c>
      <c r="H668">
        <f t="shared" ca="1" si="43"/>
        <v>100</v>
      </c>
    </row>
    <row r="669" spans="1:8" x14ac:dyDescent="0.35">
      <c r="A669">
        <f t="shared" si="40"/>
        <v>1668</v>
      </c>
      <c r="B669" s="2">
        <f t="shared" ca="1" si="41"/>
        <v>45814</v>
      </c>
      <c r="C669" t="str" cm="1">
        <f t="array" aca="1" ref="C669" ca="1">INDEX(Products!$A$2:$A$9,RANDBETWEEN(1,8))</f>
        <v>Football</v>
      </c>
      <c r="D669" t="str">
        <f ca="1">_xlfn.XLOOKUP(C669,Products!A:A,Products!B:B)</f>
        <v>Equipment</v>
      </c>
      <c r="E669" t="str" cm="1">
        <f t="array" aca="1" ref="E669" ca="1">INDEX(Regions!$A$2:$A$7,RANDBETWEEN(1,6))</f>
        <v>Waterford</v>
      </c>
      <c r="F669">
        <f t="shared" ca="1" si="42"/>
        <v>4</v>
      </c>
      <c r="G669">
        <f ca="1">VLOOKUP(C669,Products!$A$2:$C$9,3,FALSE)</f>
        <v>30</v>
      </c>
      <c r="H669">
        <f t="shared" ca="1" si="43"/>
        <v>120</v>
      </c>
    </row>
    <row r="670" spans="1:8" x14ac:dyDescent="0.35">
      <c r="A670">
        <f t="shared" si="40"/>
        <v>1669</v>
      </c>
      <c r="B670" s="2">
        <f t="shared" ca="1" si="41"/>
        <v>45509</v>
      </c>
      <c r="C670" t="str" cm="1">
        <f t="array" aca="1" ref="C670" ca="1">INDEX(Products!$A$2:$A$9,RANDBETWEEN(1,8))</f>
        <v>Home Jersey</v>
      </c>
      <c r="D670" t="str">
        <f ca="1">_xlfn.XLOOKUP(C670,Products!A:A,Products!B:B)</f>
        <v>Jerseys</v>
      </c>
      <c r="E670" t="str" cm="1">
        <f t="array" aca="1" ref="E670" ca="1">INDEX(Regions!$A$2:$A$7,RANDBETWEEN(1,6))</f>
        <v>Belfast</v>
      </c>
      <c r="F670">
        <f t="shared" ca="1" si="42"/>
        <v>4</v>
      </c>
      <c r="G670">
        <f ca="1">VLOOKUP(C670,Products!$A$2:$C$9,3,FALSE)</f>
        <v>80</v>
      </c>
      <c r="H670">
        <f t="shared" ca="1" si="43"/>
        <v>320</v>
      </c>
    </row>
    <row r="671" spans="1:8" x14ac:dyDescent="0.35">
      <c r="A671">
        <f t="shared" si="40"/>
        <v>1670</v>
      </c>
      <c r="B671" s="2">
        <f t="shared" ca="1" si="41"/>
        <v>45324</v>
      </c>
      <c r="C671" t="str" cm="1">
        <f t="array" aca="1" ref="C671" ca="1">INDEX(Products!$A$2:$A$9,RANDBETWEEN(1,8))</f>
        <v>Scarf</v>
      </c>
      <c r="D671" t="str">
        <f ca="1">_xlfn.XLOOKUP(C671,Products!A:A,Products!B:B)</f>
        <v>Accessories</v>
      </c>
      <c r="E671" t="str" cm="1">
        <f t="array" aca="1" ref="E671" ca="1">INDEX(Regions!$A$2:$A$7,RANDBETWEEN(1,6))</f>
        <v>Cork</v>
      </c>
      <c r="F671">
        <f t="shared" ca="1" si="42"/>
        <v>2</v>
      </c>
      <c r="G671">
        <f ca="1">VLOOKUP(C671,Products!$A$2:$C$9,3,FALSE)</f>
        <v>20</v>
      </c>
      <c r="H671">
        <f t="shared" ca="1" si="43"/>
        <v>40</v>
      </c>
    </row>
    <row r="672" spans="1:8" x14ac:dyDescent="0.35">
      <c r="A672">
        <f t="shared" si="40"/>
        <v>1671</v>
      </c>
      <c r="B672" s="2">
        <f t="shared" ca="1" si="41"/>
        <v>45671</v>
      </c>
      <c r="C672" t="str" cm="1">
        <f t="array" aca="1" ref="C672" ca="1">INDEX(Products!$A$2:$A$9,RANDBETWEEN(1,8))</f>
        <v>Jacket</v>
      </c>
      <c r="D672" t="str">
        <f ca="1">_xlfn.XLOOKUP(C672,Products!A:A,Products!B:B)</f>
        <v>Training Wear</v>
      </c>
      <c r="E672" t="str" cm="1">
        <f t="array" aca="1" ref="E672" ca="1">INDEX(Regions!$A$2:$A$7,RANDBETWEEN(1,6))</f>
        <v>Belfast</v>
      </c>
      <c r="F672">
        <f t="shared" ca="1" si="42"/>
        <v>4</v>
      </c>
      <c r="G672">
        <f ca="1">VLOOKUP(C672,Products!$A$2:$C$9,3,FALSE)</f>
        <v>90</v>
      </c>
      <c r="H672">
        <f t="shared" ca="1" si="43"/>
        <v>360</v>
      </c>
    </row>
    <row r="673" spans="1:8" x14ac:dyDescent="0.35">
      <c r="A673">
        <f t="shared" si="40"/>
        <v>1672</v>
      </c>
      <c r="B673" s="2">
        <f t="shared" ca="1" si="41"/>
        <v>45375</v>
      </c>
      <c r="C673" t="str" cm="1">
        <f t="array" aca="1" ref="C673" ca="1">INDEX(Products!$A$2:$A$9,RANDBETWEEN(1,8))</f>
        <v>Hat</v>
      </c>
      <c r="D673" t="str">
        <f ca="1">_xlfn.XLOOKUP(C673,Products!A:A,Products!B:B)</f>
        <v>Accessories</v>
      </c>
      <c r="E673" t="str" cm="1">
        <f t="array" aca="1" ref="E673" ca="1">INDEX(Regions!$A$2:$A$7,RANDBETWEEN(1,6))</f>
        <v>Limerick</v>
      </c>
      <c r="F673">
        <f t="shared" ca="1" si="42"/>
        <v>5</v>
      </c>
      <c r="G673">
        <f ca="1">VLOOKUP(C673,Products!$A$2:$C$9,3,FALSE)</f>
        <v>25</v>
      </c>
      <c r="H673">
        <f t="shared" ca="1" si="43"/>
        <v>125</v>
      </c>
    </row>
    <row r="674" spans="1:8" x14ac:dyDescent="0.35">
      <c r="A674">
        <f t="shared" si="40"/>
        <v>1673</v>
      </c>
      <c r="B674" s="2">
        <f t="shared" ca="1" si="41"/>
        <v>45938</v>
      </c>
      <c r="C674" t="str" cm="1">
        <f t="array" aca="1" ref="C674" ca="1">INDEX(Products!$A$2:$A$9,RANDBETWEEN(1,8))</f>
        <v>Scarf</v>
      </c>
      <c r="D674" t="str">
        <f ca="1">_xlfn.XLOOKUP(C674,Products!A:A,Products!B:B)</f>
        <v>Accessories</v>
      </c>
      <c r="E674" t="str" cm="1">
        <f t="array" aca="1" ref="E674" ca="1">INDEX(Regions!$A$2:$A$7,RANDBETWEEN(1,6))</f>
        <v>Galway</v>
      </c>
      <c r="F674">
        <f t="shared" ca="1" si="42"/>
        <v>2</v>
      </c>
      <c r="G674">
        <f ca="1">VLOOKUP(C674,Products!$A$2:$C$9,3,FALSE)</f>
        <v>20</v>
      </c>
      <c r="H674">
        <f t="shared" ca="1" si="43"/>
        <v>40</v>
      </c>
    </row>
    <row r="675" spans="1:8" x14ac:dyDescent="0.35">
      <c r="A675">
        <f t="shared" si="40"/>
        <v>1674</v>
      </c>
      <c r="B675" s="2">
        <f t="shared" ca="1" si="41"/>
        <v>45553</v>
      </c>
      <c r="C675" t="str" cm="1">
        <f t="array" aca="1" ref="C675" ca="1">INDEX(Products!$A$2:$A$9,RANDBETWEEN(1,8))</f>
        <v>Training Top</v>
      </c>
      <c r="D675" t="str">
        <f ca="1">_xlfn.XLOOKUP(C675,Products!A:A,Products!B:B)</f>
        <v>Training Wear</v>
      </c>
      <c r="E675" t="str" cm="1">
        <f t="array" aca="1" ref="E675" ca="1">INDEX(Regions!$A$2:$A$7,RANDBETWEEN(1,6))</f>
        <v>Waterford</v>
      </c>
      <c r="F675">
        <f t="shared" ca="1" si="42"/>
        <v>3</v>
      </c>
      <c r="G675">
        <f ca="1">VLOOKUP(C675,Products!$A$2:$C$9,3,FALSE)</f>
        <v>55</v>
      </c>
      <c r="H675">
        <f t="shared" ca="1" si="43"/>
        <v>165</v>
      </c>
    </row>
    <row r="676" spans="1:8" x14ac:dyDescent="0.35">
      <c r="A676">
        <f t="shared" si="40"/>
        <v>1675</v>
      </c>
      <c r="B676" s="2">
        <f t="shared" ca="1" si="41"/>
        <v>45666</v>
      </c>
      <c r="C676" t="str" cm="1">
        <f t="array" aca="1" ref="C676" ca="1">INDEX(Products!$A$2:$A$9,RANDBETWEEN(1,8))</f>
        <v>Jacket</v>
      </c>
      <c r="D676" t="str">
        <f ca="1">_xlfn.XLOOKUP(C676,Products!A:A,Products!B:B)</f>
        <v>Training Wear</v>
      </c>
      <c r="E676" t="str" cm="1">
        <f t="array" aca="1" ref="E676" ca="1">INDEX(Regions!$A$2:$A$7,RANDBETWEEN(1,6))</f>
        <v>Belfast</v>
      </c>
      <c r="F676">
        <f t="shared" ca="1" si="42"/>
        <v>4</v>
      </c>
      <c r="G676">
        <f ca="1">VLOOKUP(C676,Products!$A$2:$C$9,3,FALSE)</f>
        <v>90</v>
      </c>
      <c r="H676">
        <f t="shared" ca="1" si="43"/>
        <v>360</v>
      </c>
    </row>
    <row r="677" spans="1:8" x14ac:dyDescent="0.35">
      <c r="A677">
        <f t="shared" si="40"/>
        <v>1676</v>
      </c>
      <c r="B677" s="2">
        <f t="shared" ca="1" si="41"/>
        <v>45564</v>
      </c>
      <c r="C677" t="str" cm="1">
        <f t="array" aca="1" ref="C677" ca="1">INDEX(Products!$A$2:$A$9,RANDBETWEEN(1,8))</f>
        <v>Third Jersey</v>
      </c>
      <c r="D677" t="str">
        <f ca="1">_xlfn.XLOOKUP(C677,Products!A:A,Products!B:B)</f>
        <v>Jerseys</v>
      </c>
      <c r="E677" t="str" cm="1">
        <f t="array" aca="1" ref="E677" ca="1">INDEX(Regions!$A$2:$A$7,RANDBETWEEN(1,6))</f>
        <v>Limerick</v>
      </c>
      <c r="F677">
        <f t="shared" ca="1" si="42"/>
        <v>2</v>
      </c>
      <c r="G677">
        <f ca="1">VLOOKUP(C677,Products!$A$2:$C$9,3,FALSE)</f>
        <v>85</v>
      </c>
      <c r="H677">
        <f t="shared" ca="1" si="43"/>
        <v>170</v>
      </c>
    </row>
    <row r="678" spans="1:8" x14ac:dyDescent="0.35">
      <c r="A678">
        <f t="shared" si="40"/>
        <v>1677</v>
      </c>
      <c r="B678" s="2">
        <f t="shared" ca="1" si="41"/>
        <v>45306</v>
      </c>
      <c r="C678" t="str" cm="1">
        <f t="array" aca="1" ref="C678" ca="1">INDEX(Products!$A$2:$A$9,RANDBETWEEN(1,8))</f>
        <v>Hat</v>
      </c>
      <c r="D678" t="str">
        <f ca="1">_xlfn.XLOOKUP(C678,Products!A:A,Products!B:B)</f>
        <v>Accessories</v>
      </c>
      <c r="E678" t="str" cm="1">
        <f t="array" aca="1" ref="E678" ca="1">INDEX(Regions!$A$2:$A$7,RANDBETWEEN(1,6))</f>
        <v>Cork</v>
      </c>
      <c r="F678">
        <f t="shared" ca="1" si="42"/>
        <v>3</v>
      </c>
      <c r="G678">
        <f ca="1">VLOOKUP(C678,Products!$A$2:$C$9,3,FALSE)</f>
        <v>25</v>
      </c>
      <c r="H678">
        <f t="shared" ca="1" si="43"/>
        <v>75</v>
      </c>
    </row>
    <row r="679" spans="1:8" x14ac:dyDescent="0.35">
      <c r="A679">
        <f t="shared" si="40"/>
        <v>1678</v>
      </c>
      <c r="B679" s="2">
        <f t="shared" ca="1" si="41"/>
        <v>45937</v>
      </c>
      <c r="C679" t="str" cm="1">
        <f t="array" aca="1" ref="C679" ca="1">INDEX(Products!$A$2:$A$9,RANDBETWEEN(1,8))</f>
        <v>Training Top</v>
      </c>
      <c r="D679" t="str">
        <f ca="1">_xlfn.XLOOKUP(C679,Products!A:A,Products!B:B)</f>
        <v>Training Wear</v>
      </c>
      <c r="E679" t="str" cm="1">
        <f t="array" aca="1" ref="E679" ca="1">INDEX(Regions!$A$2:$A$7,RANDBETWEEN(1,6))</f>
        <v>Dublin</v>
      </c>
      <c r="F679">
        <f t="shared" ca="1" si="42"/>
        <v>4</v>
      </c>
      <c r="G679">
        <f ca="1">VLOOKUP(C679,Products!$A$2:$C$9,3,FALSE)</f>
        <v>55</v>
      </c>
      <c r="H679">
        <f t="shared" ca="1" si="43"/>
        <v>220</v>
      </c>
    </row>
    <row r="680" spans="1:8" x14ac:dyDescent="0.35">
      <c r="A680">
        <f t="shared" si="40"/>
        <v>1679</v>
      </c>
      <c r="B680" s="2">
        <f t="shared" ca="1" si="41"/>
        <v>45482</v>
      </c>
      <c r="C680" t="str" cm="1">
        <f t="array" aca="1" ref="C680" ca="1">INDEX(Products!$A$2:$A$9,RANDBETWEEN(1,8))</f>
        <v>Home Jersey</v>
      </c>
      <c r="D680" t="str">
        <f ca="1">_xlfn.XLOOKUP(C680,Products!A:A,Products!B:B)</f>
        <v>Jerseys</v>
      </c>
      <c r="E680" t="str" cm="1">
        <f t="array" aca="1" ref="E680" ca="1">INDEX(Regions!$A$2:$A$7,RANDBETWEEN(1,6))</f>
        <v>Limerick</v>
      </c>
      <c r="F680">
        <f t="shared" ca="1" si="42"/>
        <v>4</v>
      </c>
      <c r="G680">
        <f ca="1">VLOOKUP(C680,Products!$A$2:$C$9,3,FALSE)</f>
        <v>80</v>
      </c>
      <c r="H680">
        <f t="shared" ca="1" si="43"/>
        <v>320</v>
      </c>
    </row>
    <row r="681" spans="1:8" x14ac:dyDescent="0.35">
      <c r="A681">
        <f t="shared" si="40"/>
        <v>1680</v>
      </c>
      <c r="B681" s="2">
        <f t="shared" ca="1" si="41"/>
        <v>45972</v>
      </c>
      <c r="C681" t="str" cm="1">
        <f t="array" aca="1" ref="C681" ca="1">INDEX(Products!$A$2:$A$9,RANDBETWEEN(1,8))</f>
        <v>Hat</v>
      </c>
      <c r="D681" t="str">
        <f ca="1">_xlfn.XLOOKUP(C681,Products!A:A,Products!B:B)</f>
        <v>Accessories</v>
      </c>
      <c r="E681" t="str" cm="1">
        <f t="array" aca="1" ref="E681" ca="1">INDEX(Regions!$A$2:$A$7,RANDBETWEEN(1,6))</f>
        <v>Galway</v>
      </c>
      <c r="F681">
        <f t="shared" ca="1" si="42"/>
        <v>1</v>
      </c>
      <c r="G681">
        <f ca="1">VLOOKUP(C681,Products!$A$2:$C$9,3,FALSE)</f>
        <v>25</v>
      </c>
      <c r="H681">
        <f t="shared" ca="1" si="43"/>
        <v>25</v>
      </c>
    </row>
    <row r="682" spans="1:8" x14ac:dyDescent="0.35">
      <c r="A682">
        <f t="shared" si="40"/>
        <v>1681</v>
      </c>
      <c r="B682" s="2">
        <f t="shared" ca="1" si="41"/>
        <v>45362</v>
      </c>
      <c r="C682" t="str" cm="1">
        <f t="array" aca="1" ref="C682" ca="1">INDEX(Products!$A$2:$A$9,RANDBETWEEN(1,8))</f>
        <v>Hat</v>
      </c>
      <c r="D682" t="str">
        <f ca="1">_xlfn.XLOOKUP(C682,Products!A:A,Products!B:B)</f>
        <v>Accessories</v>
      </c>
      <c r="E682" t="str" cm="1">
        <f t="array" aca="1" ref="E682" ca="1">INDEX(Regions!$A$2:$A$7,RANDBETWEEN(1,6))</f>
        <v>Cork</v>
      </c>
      <c r="F682">
        <f t="shared" ca="1" si="42"/>
        <v>3</v>
      </c>
      <c r="G682">
        <f ca="1">VLOOKUP(C682,Products!$A$2:$C$9,3,FALSE)</f>
        <v>25</v>
      </c>
      <c r="H682">
        <f t="shared" ca="1" si="43"/>
        <v>75</v>
      </c>
    </row>
    <row r="683" spans="1:8" x14ac:dyDescent="0.35">
      <c r="A683">
        <f t="shared" si="40"/>
        <v>1682</v>
      </c>
      <c r="B683" s="2">
        <f t="shared" ca="1" si="41"/>
        <v>45807</v>
      </c>
      <c r="C683" t="str" cm="1">
        <f t="array" aca="1" ref="C683" ca="1">INDEX(Products!$A$2:$A$9,RANDBETWEEN(1,8))</f>
        <v>Training Top</v>
      </c>
      <c r="D683" t="str">
        <f ca="1">_xlfn.XLOOKUP(C683,Products!A:A,Products!B:B)</f>
        <v>Training Wear</v>
      </c>
      <c r="E683" t="str" cm="1">
        <f t="array" aca="1" ref="E683" ca="1">INDEX(Regions!$A$2:$A$7,RANDBETWEEN(1,6))</f>
        <v>Waterford</v>
      </c>
      <c r="F683">
        <f t="shared" ca="1" si="42"/>
        <v>3</v>
      </c>
      <c r="G683">
        <f ca="1">VLOOKUP(C683,Products!$A$2:$C$9,3,FALSE)</f>
        <v>55</v>
      </c>
      <c r="H683">
        <f t="shared" ca="1" si="43"/>
        <v>165</v>
      </c>
    </row>
    <row r="684" spans="1:8" x14ac:dyDescent="0.35">
      <c r="A684">
        <f t="shared" si="40"/>
        <v>1683</v>
      </c>
      <c r="B684" s="2">
        <f t="shared" ca="1" si="41"/>
        <v>45883</v>
      </c>
      <c r="C684" t="str" cm="1">
        <f t="array" aca="1" ref="C684" ca="1">INDEX(Products!$A$2:$A$9,RANDBETWEEN(1,8))</f>
        <v>Training Top</v>
      </c>
      <c r="D684" t="str">
        <f ca="1">_xlfn.XLOOKUP(C684,Products!A:A,Products!B:B)</f>
        <v>Training Wear</v>
      </c>
      <c r="E684" t="str" cm="1">
        <f t="array" aca="1" ref="E684" ca="1">INDEX(Regions!$A$2:$A$7,RANDBETWEEN(1,6))</f>
        <v>Limerick</v>
      </c>
      <c r="F684">
        <f t="shared" ca="1" si="42"/>
        <v>5</v>
      </c>
      <c r="G684">
        <f ca="1">VLOOKUP(C684,Products!$A$2:$C$9,3,FALSE)</f>
        <v>55</v>
      </c>
      <c r="H684">
        <f t="shared" ca="1" si="43"/>
        <v>275</v>
      </c>
    </row>
    <row r="685" spans="1:8" x14ac:dyDescent="0.35">
      <c r="A685">
        <f t="shared" si="40"/>
        <v>1684</v>
      </c>
      <c r="B685" s="2">
        <f t="shared" ca="1" si="41"/>
        <v>45304</v>
      </c>
      <c r="C685" t="str" cm="1">
        <f t="array" aca="1" ref="C685" ca="1">INDEX(Products!$A$2:$A$9,RANDBETWEEN(1,8))</f>
        <v>Home Jersey</v>
      </c>
      <c r="D685" t="str">
        <f ca="1">_xlfn.XLOOKUP(C685,Products!A:A,Products!B:B)</f>
        <v>Jerseys</v>
      </c>
      <c r="E685" t="str" cm="1">
        <f t="array" aca="1" ref="E685" ca="1">INDEX(Regions!$A$2:$A$7,RANDBETWEEN(1,6))</f>
        <v>Galway</v>
      </c>
      <c r="F685">
        <f t="shared" ca="1" si="42"/>
        <v>1</v>
      </c>
      <c r="G685">
        <f ca="1">VLOOKUP(C685,Products!$A$2:$C$9,3,FALSE)</f>
        <v>80</v>
      </c>
      <c r="H685">
        <f t="shared" ca="1" si="43"/>
        <v>80</v>
      </c>
    </row>
    <row r="686" spans="1:8" x14ac:dyDescent="0.35">
      <c r="A686">
        <f t="shared" si="40"/>
        <v>1685</v>
      </c>
      <c r="B686" s="2">
        <f t="shared" ca="1" si="41"/>
        <v>45997</v>
      </c>
      <c r="C686" t="str" cm="1">
        <f t="array" aca="1" ref="C686" ca="1">INDEX(Products!$A$2:$A$9,RANDBETWEEN(1,8))</f>
        <v>Scarf</v>
      </c>
      <c r="D686" t="str">
        <f ca="1">_xlfn.XLOOKUP(C686,Products!A:A,Products!B:B)</f>
        <v>Accessories</v>
      </c>
      <c r="E686" t="str" cm="1">
        <f t="array" aca="1" ref="E686" ca="1">INDEX(Regions!$A$2:$A$7,RANDBETWEEN(1,6))</f>
        <v>Belfast</v>
      </c>
      <c r="F686">
        <f t="shared" ca="1" si="42"/>
        <v>1</v>
      </c>
      <c r="G686">
        <f ca="1">VLOOKUP(C686,Products!$A$2:$C$9,3,FALSE)</f>
        <v>20</v>
      </c>
      <c r="H686">
        <f t="shared" ca="1" si="43"/>
        <v>20</v>
      </c>
    </row>
    <row r="687" spans="1:8" x14ac:dyDescent="0.35">
      <c r="A687">
        <f t="shared" si="40"/>
        <v>1686</v>
      </c>
      <c r="B687" s="2">
        <f t="shared" ca="1" si="41"/>
        <v>45912</v>
      </c>
      <c r="C687" t="str" cm="1">
        <f t="array" aca="1" ref="C687" ca="1">INDEX(Products!$A$2:$A$9,RANDBETWEEN(1,8))</f>
        <v>Third Jersey</v>
      </c>
      <c r="D687" t="str">
        <f ca="1">_xlfn.XLOOKUP(C687,Products!A:A,Products!B:B)</f>
        <v>Jerseys</v>
      </c>
      <c r="E687" t="str" cm="1">
        <f t="array" aca="1" ref="E687" ca="1">INDEX(Regions!$A$2:$A$7,RANDBETWEEN(1,6))</f>
        <v>Cork</v>
      </c>
      <c r="F687">
        <f t="shared" ca="1" si="42"/>
        <v>2</v>
      </c>
      <c r="G687">
        <f ca="1">VLOOKUP(C687,Products!$A$2:$C$9,3,FALSE)</f>
        <v>85</v>
      </c>
      <c r="H687">
        <f t="shared" ca="1" si="43"/>
        <v>170</v>
      </c>
    </row>
    <row r="688" spans="1:8" x14ac:dyDescent="0.35">
      <c r="A688">
        <f t="shared" si="40"/>
        <v>1687</v>
      </c>
      <c r="B688" s="2">
        <f t="shared" ca="1" si="41"/>
        <v>45404</v>
      </c>
      <c r="C688" t="str" cm="1">
        <f t="array" aca="1" ref="C688" ca="1">INDEX(Products!$A$2:$A$9,RANDBETWEEN(1,8))</f>
        <v>Hat</v>
      </c>
      <c r="D688" t="str">
        <f ca="1">_xlfn.XLOOKUP(C688,Products!A:A,Products!B:B)</f>
        <v>Accessories</v>
      </c>
      <c r="E688" t="str" cm="1">
        <f t="array" aca="1" ref="E688" ca="1">INDEX(Regions!$A$2:$A$7,RANDBETWEEN(1,6))</f>
        <v>Cork</v>
      </c>
      <c r="F688">
        <f t="shared" ca="1" si="42"/>
        <v>4</v>
      </c>
      <c r="G688">
        <f ca="1">VLOOKUP(C688,Products!$A$2:$C$9,3,FALSE)</f>
        <v>25</v>
      </c>
      <c r="H688">
        <f t="shared" ca="1" si="43"/>
        <v>100</v>
      </c>
    </row>
    <row r="689" spans="1:8" x14ac:dyDescent="0.35">
      <c r="A689">
        <f t="shared" si="40"/>
        <v>1688</v>
      </c>
      <c r="B689" s="2">
        <f t="shared" ca="1" si="41"/>
        <v>45989</v>
      </c>
      <c r="C689" t="str" cm="1">
        <f t="array" aca="1" ref="C689" ca="1">INDEX(Products!$A$2:$A$9,RANDBETWEEN(1,8))</f>
        <v>Scarf</v>
      </c>
      <c r="D689" t="str">
        <f ca="1">_xlfn.XLOOKUP(C689,Products!A:A,Products!B:B)</f>
        <v>Accessories</v>
      </c>
      <c r="E689" t="str" cm="1">
        <f t="array" aca="1" ref="E689" ca="1">INDEX(Regions!$A$2:$A$7,RANDBETWEEN(1,6))</f>
        <v>Limerick</v>
      </c>
      <c r="F689">
        <f t="shared" ca="1" si="42"/>
        <v>1</v>
      </c>
      <c r="G689">
        <f ca="1">VLOOKUP(C689,Products!$A$2:$C$9,3,FALSE)</f>
        <v>20</v>
      </c>
      <c r="H689">
        <f t="shared" ca="1" si="43"/>
        <v>20</v>
      </c>
    </row>
    <row r="690" spans="1:8" x14ac:dyDescent="0.35">
      <c r="A690">
        <f t="shared" si="40"/>
        <v>1689</v>
      </c>
      <c r="B690" s="2">
        <f t="shared" ca="1" si="41"/>
        <v>45815</v>
      </c>
      <c r="C690" t="str" cm="1">
        <f t="array" aca="1" ref="C690" ca="1">INDEX(Products!$A$2:$A$9,RANDBETWEEN(1,8))</f>
        <v>Away Jersey</v>
      </c>
      <c r="D690" t="str">
        <f ca="1">_xlfn.XLOOKUP(C690,Products!A:A,Products!B:B)</f>
        <v>Jerseys</v>
      </c>
      <c r="E690" t="str" cm="1">
        <f t="array" aca="1" ref="E690" ca="1">INDEX(Regions!$A$2:$A$7,RANDBETWEEN(1,6))</f>
        <v>Belfast</v>
      </c>
      <c r="F690">
        <f t="shared" ca="1" si="42"/>
        <v>1</v>
      </c>
      <c r="G690">
        <f ca="1">VLOOKUP(C690,Products!$A$2:$C$9,3,FALSE)</f>
        <v>80</v>
      </c>
      <c r="H690">
        <f t="shared" ca="1" si="43"/>
        <v>80</v>
      </c>
    </row>
    <row r="691" spans="1:8" x14ac:dyDescent="0.35">
      <c r="A691">
        <f t="shared" si="40"/>
        <v>1690</v>
      </c>
      <c r="B691" s="2">
        <f t="shared" ca="1" si="41"/>
        <v>45403</v>
      </c>
      <c r="C691" t="str" cm="1">
        <f t="array" aca="1" ref="C691" ca="1">INDEX(Products!$A$2:$A$9,RANDBETWEEN(1,8))</f>
        <v>Football</v>
      </c>
      <c r="D691" t="str">
        <f ca="1">_xlfn.XLOOKUP(C691,Products!A:A,Products!B:B)</f>
        <v>Equipment</v>
      </c>
      <c r="E691" t="str" cm="1">
        <f t="array" aca="1" ref="E691" ca="1">INDEX(Regions!$A$2:$A$7,RANDBETWEEN(1,6))</f>
        <v>Limerick</v>
      </c>
      <c r="F691">
        <f t="shared" ca="1" si="42"/>
        <v>4</v>
      </c>
      <c r="G691">
        <f ca="1">VLOOKUP(C691,Products!$A$2:$C$9,3,FALSE)</f>
        <v>30</v>
      </c>
      <c r="H691">
        <f t="shared" ca="1" si="43"/>
        <v>120</v>
      </c>
    </row>
    <row r="692" spans="1:8" x14ac:dyDescent="0.35">
      <c r="A692">
        <f t="shared" si="40"/>
        <v>1691</v>
      </c>
      <c r="B692" s="2">
        <f t="shared" ca="1" si="41"/>
        <v>45334</v>
      </c>
      <c r="C692" t="str" cm="1">
        <f t="array" aca="1" ref="C692" ca="1">INDEX(Products!$A$2:$A$9,RANDBETWEEN(1,8))</f>
        <v>Training Top</v>
      </c>
      <c r="D692" t="str">
        <f ca="1">_xlfn.XLOOKUP(C692,Products!A:A,Products!B:B)</f>
        <v>Training Wear</v>
      </c>
      <c r="E692" t="str" cm="1">
        <f t="array" aca="1" ref="E692" ca="1">INDEX(Regions!$A$2:$A$7,RANDBETWEEN(1,6))</f>
        <v>Waterford</v>
      </c>
      <c r="F692">
        <f t="shared" ca="1" si="42"/>
        <v>1</v>
      </c>
      <c r="G692">
        <f ca="1">VLOOKUP(C692,Products!$A$2:$C$9,3,FALSE)</f>
        <v>55</v>
      </c>
      <c r="H692">
        <f t="shared" ca="1" si="43"/>
        <v>55</v>
      </c>
    </row>
    <row r="693" spans="1:8" x14ac:dyDescent="0.35">
      <c r="A693">
        <f t="shared" si="40"/>
        <v>1692</v>
      </c>
      <c r="B693" s="2">
        <f t="shared" ca="1" si="41"/>
        <v>45807</v>
      </c>
      <c r="C693" t="str" cm="1">
        <f t="array" aca="1" ref="C693" ca="1">INDEX(Products!$A$2:$A$9,RANDBETWEEN(1,8))</f>
        <v>Jacket</v>
      </c>
      <c r="D693" t="str">
        <f ca="1">_xlfn.XLOOKUP(C693,Products!A:A,Products!B:B)</f>
        <v>Training Wear</v>
      </c>
      <c r="E693" t="str" cm="1">
        <f t="array" aca="1" ref="E693" ca="1">INDEX(Regions!$A$2:$A$7,RANDBETWEEN(1,6))</f>
        <v>Galway</v>
      </c>
      <c r="F693">
        <f t="shared" ca="1" si="42"/>
        <v>4</v>
      </c>
      <c r="G693">
        <f ca="1">VLOOKUP(C693,Products!$A$2:$C$9,3,FALSE)</f>
        <v>90</v>
      </c>
      <c r="H693">
        <f t="shared" ca="1" si="43"/>
        <v>360</v>
      </c>
    </row>
    <row r="694" spans="1:8" x14ac:dyDescent="0.35">
      <c r="A694">
        <f t="shared" si="40"/>
        <v>1693</v>
      </c>
      <c r="B694" s="2">
        <f t="shared" ca="1" si="41"/>
        <v>45467</v>
      </c>
      <c r="C694" t="str" cm="1">
        <f t="array" aca="1" ref="C694" ca="1">INDEX(Products!$A$2:$A$9,RANDBETWEEN(1,8))</f>
        <v>Football</v>
      </c>
      <c r="D694" t="str">
        <f ca="1">_xlfn.XLOOKUP(C694,Products!A:A,Products!B:B)</f>
        <v>Equipment</v>
      </c>
      <c r="E694" t="str" cm="1">
        <f t="array" aca="1" ref="E694" ca="1">INDEX(Regions!$A$2:$A$7,RANDBETWEEN(1,6))</f>
        <v>Cork</v>
      </c>
      <c r="F694">
        <f t="shared" ca="1" si="42"/>
        <v>3</v>
      </c>
      <c r="G694">
        <f ca="1">VLOOKUP(C694,Products!$A$2:$C$9,3,FALSE)</f>
        <v>30</v>
      </c>
      <c r="H694">
        <f t="shared" ca="1" si="43"/>
        <v>90</v>
      </c>
    </row>
    <row r="695" spans="1:8" x14ac:dyDescent="0.35">
      <c r="A695">
        <f t="shared" si="40"/>
        <v>1694</v>
      </c>
      <c r="B695" s="2">
        <f t="shared" ca="1" si="41"/>
        <v>45707</v>
      </c>
      <c r="C695" t="str" cm="1">
        <f t="array" aca="1" ref="C695" ca="1">INDEX(Products!$A$2:$A$9,RANDBETWEEN(1,8))</f>
        <v>Hat</v>
      </c>
      <c r="D695" t="str">
        <f ca="1">_xlfn.XLOOKUP(C695,Products!A:A,Products!B:B)</f>
        <v>Accessories</v>
      </c>
      <c r="E695" t="str" cm="1">
        <f t="array" aca="1" ref="E695" ca="1">INDEX(Regions!$A$2:$A$7,RANDBETWEEN(1,6))</f>
        <v>Belfast</v>
      </c>
      <c r="F695">
        <f t="shared" ca="1" si="42"/>
        <v>4</v>
      </c>
      <c r="G695">
        <f ca="1">VLOOKUP(C695,Products!$A$2:$C$9,3,FALSE)</f>
        <v>25</v>
      </c>
      <c r="H695">
        <f t="shared" ca="1" si="43"/>
        <v>100</v>
      </c>
    </row>
    <row r="696" spans="1:8" x14ac:dyDescent="0.35">
      <c r="A696">
        <f t="shared" si="40"/>
        <v>1695</v>
      </c>
      <c r="B696" s="2">
        <f t="shared" ca="1" si="41"/>
        <v>45897</v>
      </c>
      <c r="C696" t="str" cm="1">
        <f t="array" aca="1" ref="C696" ca="1">INDEX(Products!$A$2:$A$9,RANDBETWEEN(1,8))</f>
        <v>Jacket</v>
      </c>
      <c r="D696" t="str">
        <f ca="1">_xlfn.XLOOKUP(C696,Products!A:A,Products!B:B)</f>
        <v>Training Wear</v>
      </c>
      <c r="E696" t="str" cm="1">
        <f t="array" aca="1" ref="E696" ca="1">INDEX(Regions!$A$2:$A$7,RANDBETWEEN(1,6))</f>
        <v>Belfast</v>
      </c>
      <c r="F696">
        <f t="shared" ca="1" si="42"/>
        <v>5</v>
      </c>
      <c r="G696">
        <f ca="1">VLOOKUP(C696,Products!$A$2:$C$9,3,FALSE)</f>
        <v>90</v>
      </c>
      <c r="H696">
        <f t="shared" ca="1" si="43"/>
        <v>450</v>
      </c>
    </row>
    <row r="697" spans="1:8" x14ac:dyDescent="0.35">
      <c r="A697">
        <f t="shared" si="40"/>
        <v>1696</v>
      </c>
      <c r="B697" s="2">
        <f t="shared" ca="1" si="41"/>
        <v>45475</v>
      </c>
      <c r="C697" t="str" cm="1">
        <f t="array" aca="1" ref="C697" ca="1">INDEX(Products!$A$2:$A$9,RANDBETWEEN(1,8))</f>
        <v>Third Jersey</v>
      </c>
      <c r="D697" t="str">
        <f ca="1">_xlfn.XLOOKUP(C697,Products!A:A,Products!B:B)</f>
        <v>Jerseys</v>
      </c>
      <c r="E697" t="str" cm="1">
        <f t="array" aca="1" ref="E697" ca="1">INDEX(Regions!$A$2:$A$7,RANDBETWEEN(1,6))</f>
        <v>Dublin</v>
      </c>
      <c r="F697">
        <f t="shared" ca="1" si="42"/>
        <v>1</v>
      </c>
      <c r="G697">
        <f ca="1">VLOOKUP(C697,Products!$A$2:$C$9,3,FALSE)</f>
        <v>85</v>
      </c>
      <c r="H697">
        <f t="shared" ca="1" si="43"/>
        <v>85</v>
      </c>
    </row>
    <row r="698" spans="1:8" x14ac:dyDescent="0.35">
      <c r="A698">
        <f t="shared" si="40"/>
        <v>1697</v>
      </c>
      <c r="B698" s="2">
        <f t="shared" ca="1" si="41"/>
        <v>45617</v>
      </c>
      <c r="C698" t="str" cm="1">
        <f t="array" aca="1" ref="C698" ca="1">INDEX(Products!$A$2:$A$9,RANDBETWEEN(1,8))</f>
        <v>Away Jersey</v>
      </c>
      <c r="D698" t="str">
        <f ca="1">_xlfn.XLOOKUP(C698,Products!A:A,Products!B:B)</f>
        <v>Jerseys</v>
      </c>
      <c r="E698" t="str" cm="1">
        <f t="array" aca="1" ref="E698" ca="1">INDEX(Regions!$A$2:$A$7,RANDBETWEEN(1,6))</f>
        <v>Cork</v>
      </c>
      <c r="F698">
        <f t="shared" ca="1" si="42"/>
        <v>4</v>
      </c>
      <c r="G698">
        <f ca="1">VLOOKUP(C698,Products!$A$2:$C$9,3,FALSE)</f>
        <v>80</v>
      </c>
      <c r="H698">
        <f t="shared" ca="1" si="43"/>
        <v>320</v>
      </c>
    </row>
    <row r="699" spans="1:8" x14ac:dyDescent="0.35">
      <c r="A699">
        <f t="shared" si="40"/>
        <v>1698</v>
      </c>
      <c r="B699" s="2">
        <f t="shared" ca="1" si="41"/>
        <v>45352</v>
      </c>
      <c r="C699" t="str" cm="1">
        <f t="array" aca="1" ref="C699" ca="1">INDEX(Products!$A$2:$A$9,RANDBETWEEN(1,8))</f>
        <v>Third Jersey</v>
      </c>
      <c r="D699" t="str">
        <f ca="1">_xlfn.XLOOKUP(C699,Products!A:A,Products!B:B)</f>
        <v>Jerseys</v>
      </c>
      <c r="E699" t="str" cm="1">
        <f t="array" aca="1" ref="E699" ca="1">INDEX(Regions!$A$2:$A$7,RANDBETWEEN(1,6))</f>
        <v>Galway</v>
      </c>
      <c r="F699">
        <f t="shared" ca="1" si="42"/>
        <v>5</v>
      </c>
      <c r="G699">
        <f ca="1">VLOOKUP(C699,Products!$A$2:$C$9,3,FALSE)</f>
        <v>85</v>
      </c>
      <c r="H699">
        <f t="shared" ca="1" si="43"/>
        <v>425</v>
      </c>
    </row>
    <row r="700" spans="1:8" x14ac:dyDescent="0.35">
      <c r="A700">
        <f t="shared" si="40"/>
        <v>1699</v>
      </c>
      <c r="B700" s="2">
        <f t="shared" ca="1" si="41"/>
        <v>45392</v>
      </c>
      <c r="C700" t="str" cm="1">
        <f t="array" aca="1" ref="C700" ca="1">INDEX(Products!$A$2:$A$9,RANDBETWEEN(1,8))</f>
        <v>Jacket</v>
      </c>
      <c r="D700" t="str">
        <f ca="1">_xlfn.XLOOKUP(C700,Products!A:A,Products!B:B)</f>
        <v>Training Wear</v>
      </c>
      <c r="E700" t="str" cm="1">
        <f t="array" aca="1" ref="E700" ca="1">INDEX(Regions!$A$2:$A$7,RANDBETWEEN(1,6))</f>
        <v>Cork</v>
      </c>
      <c r="F700">
        <f t="shared" ca="1" si="42"/>
        <v>5</v>
      </c>
      <c r="G700">
        <f ca="1">VLOOKUP(C700,Products!$A$2:$C$9,3,FALSE)</f>
        <v>90</v>
      </c>
      <c r="H700">
        <f t="shared" ca="1" si="43"/>
        <v>450</v>
      </c>
    </row>
    <row r="701" spans="1:8" x14ac:dyDescent="0.35">
      <c r="A701">
        <f t="shared" si="40"/>
        <v>1700</v>
      </c>
      <c r="B701" s="2">
        <f t="shared" ca="1" si="41"/>
        <v>45297</v>
      </c>
      <c r="C701" t="str" cm="1">
        <f t="array" aca="1" ref="C701" ca="1">INDEX(Products!$A$2:$A$9,RANDBETWEEN(1,8))</f>
        <v>Football</v>
      </c>
      <c r="D701" t="str">
        <f ca="1">_xlfn.XLOOKUP(C701,Products!A:A,Products!B:B)</f>
        <v>Equipment</v>
      </c>
      <c r="E701" t="str" cm="1">
        <f t="array" aca="1" ref="E701" ca="1">INDEX(Regions!$A$2:$A$7,RANDBETWEEN(1,6))</f>
        <v>Galway</v>
      </c>
      <c r="F701">
        <f t="shared" ca="1" si="42"/>
        <v>5</v>
      </c>
      <c r="G701">
        <f ca="1">VLOOKUP(C701,Products!$A$2:$C$9,3,FALSE)</f>
        <v>30</v>
      </c>
      <c r="H701">
        <f t="shared" ca="1" si="43"/>
        <v>150</v>
      </c>
    </row>
    <row r="702" spans="1:8" x14ac:dyDescent="0.35">
      <c r="A702">
        <f t="shared" si="40"/>
        <v>1701</v>
      </c>
      <c r="B702" s="2">
        <f t="shared" ca="1" si="41"/>
        <v>45821</v>
      </c>
      <c r="C702" t="str" cm="1">
        <f t="array" aca="1" ref="C702" ca="1">INDEX(Products!$A$2:$A$9,RANDBETWEEN(1,8))</f>
        <v>Training Top</v>
      </c>
      <c r="D702" t="str">
        <f ca="1">_xlfn.XLOOKUP(C702,Products!A:A,Products!B:B)</f>
        <v>Training Wear</v>
      </c>
      <c r="E702" t="str" cm="1">
        <f t="array" aca="1" ref="E702" ca="1">INDEX(Regions!$A$2:$A$7,RANDBETWEEN(1,6))</f>
        <v>Galway</v>
      </c>
      <c r="F702">
        <f t="shared" ca="1" si="42"/>
        <v>1</v>
      </c>
      <c r="G702">
        <f ca="1">VLOOKUP(C702,Products!$A$2:$C$9,3,FALSE)</f>
        <v>55</v>
      </c>
      <c r="H702">
        <f t="shared" ca="1" si="43"/>
        <v>55</v>
      </c>
    </row>
    <row r="703" spans="1:8" x14ac:dyDescent="0.35">
      <c r="A703">
        <f t="shared" si="40"/>
        <v>1702</v>
      </c>
      <c r="B703" s="2">
        <f t="shared" ca="1" si="41"/>
        <v>45581</v>
      </c>
      <c r="C703" t="str" cm="1">
        <f t="array" aca="1" ref="C703" ca="1">INDEX(Products!$A$2:$A$9,RANDBETWEEN(1,8))</f>
        <v>Home Jersey</v>
      </c>
      <c r="D703" t="str">
        <f ca="1">_xlfn.XLOOKUP(C703,Products!A:A,Products!B:B)</f>
        <v>Jerseys</v>
      </c>
      <c r="E703" t="str" cm="1">
        <f t="array" aca="1" ref="E703" ca="1">INDEX(Regions!$A$2:$A$7,RANDBETWEEN(1,6))</f>
        <v>Galway</v>
      </c>
      <c r="F703">
        <f t="shared" ca="1" si="42"/>
        <v>3</v>
      </c>
      <c r="G703">
        <f ca="1">VLOOKUP(C703,Products!$A$2:$C$9,3,FALSE)</f>
        <v>80</v>
      </c>
      <c r="H703">
        <f t="shared" ca="1" si="43"/>
        <v>240</v>
      </c>
    </row>
    <row r="704" spans="1:8" x14ac:dyDescent="0.35">
      <c r="A704">
        <f t="shared" si="40"/>
        <v>1703</v>
      </c>
      <c r="B704" s="2">
        <f t="shared" ca="1" si="41"/>
        <v>45440</v>
      </c>
      <c r="C704" t="str" cm="1">
        <f t="array" aca="1" ref="C704" ca="1">INDEX(Products!$A$2:$A$9,RANDBETWEEN(1,8))</f>
        <v>Third Jersey</v>
      </c>
      <c r="D704" t="str">
        <f ca="1">_xlfn.XLOOKUP(C704,Products!A:A,Products!B:B)</f>
        <v>Jerseys</v>
      </c>
      <c r="E704" t="str" cm="1">
        <f t="array" aca="1" ref="E704" ca="1">INDEX(Regions!$A$2:$A$7,RANDBETWEEN(1,6))</f>
        <v>Cork</v>
      </c>
      <c r="F704">
        <f t="shared" ca="1" si="42"/>
        <v>1</v>
      </c>
      <c r="G704">
        <f ca="1">VLOOKUP(C704,Products!$A$2:$C$9,3,FALSE)</f>
        <v>85</v>
      </c>
      <c r="H704">
        <f t="shared" ca="1" si="43"/>
        <v>85</v>
      </c>
    </row>
    <row r="705" spans="1:8" x14ac:dyDescent="0.35">
      <c r="A705">
        <f t="shared" si="40"/>
        <v>1704</v>
      </c>
      <c r="B705" s="2">
        <f t="shared" ca="1" si="41"/>
        <v>45908</v>
      </c>
      <c r="C705" t="str" cm="1">
        <f t="array" aca="1" ref="C705" ca="1">INDEX(Products!$A$2:$A$9,RANDBETWEEN(1,8))</f>
        <v>Jacket</v>
      </c>
      <c r="D705" t="str">
        <f ca="1">_xlfn.XLOOKUP(C705,Products!A:A,Products!B:B)</f>
        <v>Training Wear</v>
      </c>
      <c r="E705" t="str" cm="1">
        <f t="array" aca="1" ref="E705" ca="1">INDEX(Regions!$A$2:$A$7,RANDBETWEEN(1,6))</f>
        <v>Waterford</v>
      </c>
      <c r="F705">
        <f t="shared" ca="1" si="42"/>
        <v>2</v>
      </c>
      <c r="G705">
        <f ca="1">VLOOKUP(C705,Products!$A$2:$C$9,3,FALSE)</f>
        <v>90</v>
      </c>
      <c r="H705">
        <f t="shared" ca="1" si="43"/>
        <v>180</v>
      </c>
    </row>
    <row r="706" spans="1:8" x14ac:dyDescent="0.35">
      <c r="A706">
        <f t="shared" si="40"/>
        <v>1705</v>
      </c>
      <c r="B706" s="2">
        <f t="shared" ca="1" si="41"/>
        <v>45619</v>
      </c>
      <c r="C706" t="str" cm="1">
        <f t="array" aca="1" ref="C706" ca="1">INDEX(Products!$A$2:$A$9,RANDBETWEEN(1,8))</f>
        <v>Third Jersey</v>
      </c>
      <c r="D706" t="str">
        <f ca="1">_xlfn.XLOOKUP(C706,Products!A:A,Products!B:B)</f>
        <v>Jerseys</v>
      </c>
      <c r="E706" t="str" cm="1">
        <f t="array" aca="1" ref="E706" ca="1">INDEX(Regions!$A$2:$A$7,RANDBETWEEN(1,6))</f>
        <v>Belfast</v>
      </c>
      <c r="F706">
        <f t="shared" ca="1" si="42"/>
        <v>5</v>
      </c>
      <c r="G706">
        <f ca="1">VLOOKUP(C706,Products!$A$2:$C$9,3,FALSE)</f>
        <v>85</v>
      </c>
      <c r="H706">
        <f t="shared" ca="1" si="43"/>
        <v>425</v>
      </c>
    </row>
    <row r="707" spans="1:8" x14ac:dyDescent="0.35">
      <c r="A707">
        <f t="shared" ref="A707:A770" si="44">ROW()+999</f>
        <v>1706</v>
      </c>
      <c r="B707" s="2">
        <f t="shared" ref="B707:B770" ca="1" si="45">DATE(2024,1,1)+RANDBETWEEN(0,730)</f>
        <v>45527</v>
      </c>
      <c r="C707" t="str" cm="1">
        <f t="array" aca="1" ref="C707" ca="1">INDEX(Products!$A$2:$A$9,RANDBETWEEN(1,8))</f>
        <v>Jacket</v>
      </c>
      <c r="D707" t="str">
        <f ca="1">_xlfn.XLOOKUP(C707,Products!A:A,Products!B:B)</f>
        <v>Training Wear</v>
      </c>
      <c r="E707" t="str" cm="1">
        <f t="array" aca="1" ref="E707" ca="1">INDEX(Regions!$A$2:$A$7,RANDBETWEEN(1,6))</f>
        <v>Galway</v>
      </c>
      <c r="F707">
        <f t="shared" ref="F707:F770" ca="1" si="46">RANDBETWEEN(1,5)</f>
        <v>2</v>
      </c>
      <c r="G707">
        <f ca="1">VLOOKUP(C707,Products!$A$2:$C$9,3,FALSE)</f>
        <v>90</v>
      </c>
      <c r="H707">
        <f t="shared" ref="H707:H770" ca="1" si="47">F707*G707</f>
        <v>180</v>
      </c>
    </row>
    <row r="708" spans="1:8" x14ac:dyDescent="0.35">
      <c r="A708">
        <f t="shared" si="44"/>
        <v>1707</v>
      </c>
      <c r="B708" s="2">
        <f t="shared" ca="1" si="45"/>
        <v>45716</v>
      </c>
      <c r="C708" t="str" cm="1">
        <f t="array" aca="1" ref="C708" ca="1">INDEX(Products!$A$2:$A$9,RANDBETWEEN(1,8))</f>
        <v>Away Jersey</v>
      </c>
      <c r="D708" t="str">
        <f ca="1">_xlfn.XLOOKUP(C708,Products!A:A,Products!B:B)</f>
        <v>Jerseys</v>
      </c>
      <c r="E708" t="str" cm="1">
        <f t="array" aca="1" ref="E708" ca="1">INDEX(Regions!$A$2:$A$7,RANDBETWEEN(1,6))</f>
        <v>Limerick</v>
      </c>
      <c r="F708">
        <f t="shared" ca="1" si="46"/>
        <v>3</v>
      </c>
      <c r="G708">
        <f ca="1">VLOOKUP(C708,Products!$A$2:$C$9,3,FALSE)</f>
        <v>80</v>
      </c>
      <c r="H708">
        <f t="shared" ca="1" si="47"/>
        <v>240</v>
      </c>
    </row>
    <row r="709" spans="1:8" x14ac:dyDescent="0.35">
      <c r="A709">
        <f t="shared" si="44"/>
        <v>1708</v>
      </c>
      <c r="B709" s="2">
        <f t="shared" ca="1" si="45"/>
        <v>45638</v>
      </c>
      <c r="C709" t="str" cm="1">
        <f t="array" aca="1" ref="C709" ca="1">INDEX(Products!$A$2:$A$9,RANDBETWEEN(1,8))</f>
        <v>Home Jersey</v>
      </c>
      <c r="D709" t="str">
        <f ca="1">_xlfn.XLOOKUP(C709,Products!A:A,Products!B:B)</f>
        <v>Jerseys</v>
      </c>
      <c r="E709" t="str" cm="1">
        <f t="array" aca="1" ref="E709" ca="1">INDEX(Regions!$A$2:$A$7,RANDBETWEEN(1,6))</f>
        <v>Galway</v>
      </c>
      <c r="F709">
        <f t="shared" ca="1" si="46"/>
        <v>4</v>
      </c>
      <c r="G709">
        <f ca="1">VLOOKUP(C709,Products!$A$2:$C$9,3,FALSE)</f>
        <v>80</v>
      </c>
      <c r="H709">
        <f t="shared" ca="1" si="47"/>
        <v>320</v>
      </c>
    </row>
    <row r="710" spans="1:8" x14ac:dyDescent="0.35">
      <c r="A710">
        <f t="shared" si="44"/>
        <v>1709</v>
      </c>
      <c r="B710" s="2">
        <f t="shared" ca="1" si="45"/>
        <v>45529</v>
      </c>
      <c r="C710" t="str" cm="1">
        <f t="array" aca="1" ref="C710" ca="1">INDEX(Products!$A$2:$A$9,RANDBETWEEN(1,8))</f>
        <v>Hat</v>
      </c>
      <c r="D710" t="str">
        <f ca="1">_xlfn.XLOOKUP(C710,Products!A:A,Products!B:B)</f>
        <v>Accessories</v>
      </c>
      <c r="E710" t="str" cm="1">
        <f t="array" aca="1" ref="E710" ca="1">INDEX(Regions!$A$2:$A$7,RANDBETWEEN(1,6))</f>
        <v>Dublin</v>
      </c>
      <c r="F710">
        <f t="shared" ca="1" si="46"/>
        <v>4</v>
      </c>
      <c r="G710">
        <f ca="1">VLOOKUP(C710,Products!$A$2:$C$9,3,FALSE)</f>
        <v>25</v>
      </c>
      <c r="H710">
        <f t="shared" ca="1" si="47"/>
        <v>100</v>
      </c>
    </row>
    <row r="711" spans="1:8" x14ac:dyDescent="0.35">
      <c r="A711">
        <f t="shared" si="44"/>
        <v>1710</v>
      </c>
      <c r="B711" s="2">
        <f t="shared" ca="1" si="45"/>
        <v>45666</v>
      </c>
      <c r="C711" t="str" cm="1">
        <f t="array" aca="1" ref="C711" ca="1">INDEX(Products!$A$2:$A$9,RANDBETWEEN(1,8))</f>
        <v>Away Jersey</v>
      </c>
      <c r="D711" t="str">
        <f ca="1">_xlfn.XLOOKUP(C711,Products!A:A,Products!B:B)</f>
        <v>Jerseys</v>
      </c>
      <c r="E711" t="str" cm="1">
        <f t="array" aca="1" ref="E711" ca="1">INDEX(Regions!$A$2:$A$7,RANDBETWEEN(1,6))</f>
        <v>Galway</v>
      </c>
      <c r="F711">
        <f t="shared" ca="1" si="46"/>
        <v>1</v>
      </c>
      <c r="G711">
        <f ca="1">VLOOKUP(C711,Products!$A$2:$C$9,3,FALSE)</f>
        <v>80</v>
      </c>
      <c r="H711">
        <f t="shared" ca="1" si="47"/>
        <v>80</v>
      </c>
    </row>
    <row r="712" spans="1:8" x14ac:dyDescent="0.35">
      <c r="A712">
        <f t="shared" si="44"/>
        <v>1711</v>
      </c>
      <c r="B712" s="2">
        <f t="shared" ca="1" si="45"/>
        <v>45650</v>
      </c>
      <c r="C712" t="str" cm="1">
        <f t="array" aca="1" ref="C712" ca="1">INDEX(Products!$A$2:$A$9,RANDBETWEEN(1,8))</f>
        <v>Home Jersey</v>
      </c>
      <c r="D712" t="str">
        <f ca="1">_xlfn.XLOOKUP(C712,Products!A:A,Products!B:B)</f>
        <v>Jerseys</v>
      </c>
      <c r="E712" t="str" cm="1">
        <f t="array" aca="1" ref="E712" ca="1">INDEX(Regions!$A$2:$A$7,RANDBETWEEN(1,6))</f>
        <v>Dublin</v>
      </c>
      <c r="F712">
        <f t="shared" ca="1" si="46"/>
        <v>4</v>
      </c>
      <c r="G712">
        <f ca="1">VLOOKUP(C712,Products!$A$2:$C$9,3,FALSE)</f>
        <v>80</v>
      </c>
      <c r="H712">
        <f t="shared" ca="1" si="47"/>
        <v>320</v>
      </c>
    </row>
    <row r="713" spans="1:8" x14ac:dyDescent="0.35">
      <c r="A713">
        <f t="shared" si="44"/>
        <v>1712</v>
      </c>
      <c r="B713" s="2">
        <f t="shared" ca="1" si="45"/>
        <v>45415</v>
      </c>
      <c r="C713" t="str" cm="1">
        <f t="array" aca="1" ref="C713" ca="1">INDEX(Products!$A$2:$A$9,RANDBETWEEN(1,8))</f>
        <v>Scarf</v>
      </c>
      <c r="D713" t="str">
        <f ca="1">_xlfn.XLOOKUP(C713,Products!A:A,Products!B:B)</f>
        <v>Accessories</v>
      </c>
      <c r="E713" t="str" cm="1">
        <f t="array" aca="1" ref="E713" ca="1">INDEX(Regions!$A$2:$A$7,RANDBETWEEN(1,6))</f>
        <v>Belfast</v>
      </c>
      <c r="F713">
        <f t="shared" ca="1" si="46"/>
        <v>1</v>
      </c>
      <c r="G713">
        <f ca="1">VLOOKUP(C713,Products!$A$2:$C$9,3,FALSE)</f>
        <v>20</v>
      </c>
      <c r="H713">
        <f t="shared" ca="1" si="47"/>
        <v>20</v>
      </c>
    </row>
    <row r="714" spans="1:8" x14ac:dyDescent="0.35">
      <c r="A714">
        <f t="shared" si="44"/>
        <v>1713</v>
      </c>
      <c r="B714" s="2">
        <f t="shared" ca="1" si="45"/>
        <v>45972</v>
      </c>
      <c r="C714" t="str" cm="1">
        <f t="array" aca="1" ref="C714" ca="1">INDEX(Products!$A$2:$A$9,RANDBETWEEN(1,8))</f>
        <v>Third Jersey</v>
      </c>
      <c r="D714" t="str">
        <f ca="1">_xlfn.XLOOKUP(C714,Products!A:A,Products!B:B)</f>
        <v>Jerseys</v>
      </c>
      <c r="E714" t="str" cm="1">
        <f t="array" aca="1" ref="E714" ca="1">INDEX(Regions!$A$2:$A$7,RANDBETWEEN(1,6))</f>
        <v>Cork</v>
      </c>
      <c r="F714">
        <f t="shared" ca="1" si="46"/>
        <v>2</v>
      </c>
      <c r="G714">
        <f ca="1">VLOOKUP(C714,Products!$A$2:$C$9,3,FALSE)</f>
        <v>85</v>
      </c>
      <c r="H714">
        <f t="shared" ca="1" si="47"/>
        <v>170</v>
      </c>
    </row>
    <row r="715" spans="1:8" x14ac:dyDescent="0.35">
      <c r="A715">
        <f t="shared" si="44"/>
        <v>1714</v>
      </c>
      <c r="B715" s="2">
        <f t="shared" ca="1" si="45"/>
        <v>45627</v>
      </c>
      <c r="C715" t="str" cm="1">
        <f t="array" aca="1" ref="C715" ca="1">INDEX(Products!$A$2:$A$9,RANDBETWEEN(1,8))</f>
        <v>Training Top</v>
      </c>
      <c r="D715" t="str">
        <f ca="1">_xlfn.XLOOKUP(C715,Products!A:A,Products!B:B)</f>
        <v>Training Wear</v>
      </c>
      <c r="E715" t="str" cm="1">
        <f t="array" aca="1" ref="E715" ca="1">INDEX(Regions!$A$2:$A$7,RANDBETWEEN(1,6))</f>
        <v>Belfast</v>
      </c>
      <c r="F715">
        <f t="shared" ca="1" si="46"/>
        <v>3</v>
      </c>
      <c r="G715">
        <f ca="1">VLOOKUP(C715,Products!$A$2:$C$9,3,FALSE)</f>
        <v>55</v>
      </c>
      <c r="H715">
        <f t="shared" ca="1" si="47"/>
        <v>165</v>
      </c>
    </row>
    <row r="716" spans="1:8" x14ac:dyDescent="0.35">
      <c r="A716">
        <f t="shared" si="44"/>
        <v>1715</v>
      </c>
      <c r="B716" s="2">
        <f t="shared" ca="1" si="45"/>
        <v>45907</v>
      </c>
      <c r="C716" t="str" cm="1">
        <f t="array" aca="1" ref="C716" ca="1">INDEX(Products!$A$2:$A$9,RANDBETWEEN(1,8))</f>
        <v>Hat</v>
      </c>
      <c r="D716" t="str">
        <f ca="1">_xlfn.XLOOKUP(C716,Products!A:A,Products!B:B)</f>
        <v>Accessories</v>
      </c>
      <c r="E716" t="str" cm="1">
        <f t="array" aca="1" ref="E716" ca="1">INDEX(Regions!$A$2:$A$7,RANDBETWEEN(1,6))</f>
        <v>Limerick</v>
      </c>
      <c r="F716">
        <f t="shared" ca="1" si="46"/>
        <v>4</v>
      </c>
      <c r="G716">
        <f ca="1">VLOOKUP(C716,Products!$A$2:$C$9,3,FALSE)</f>
        <v>25</v>
      </c>
      <c r="H716">
        <f t="shared" ca="1" si="47"/>
        <v>100</v>
      </c>
    </row>
    <row r="717" spans="1:8" x14ac:dyDescent="0.35">
      <c r="A717">
        <f t="shared" si="44"/>
        <v>1716</v>
      </c>
      <c r="B717" s="2">
        <f t="shared" ca="1" si="45"/>
        <v>45905</v>
      </c>
      <c r="C717" t="str" cm="1">
        <f t="array" aca="1" ref="C717" ca="1">INDEX(Products!$A$2:$A$9,RANDBETWEEN(1,8))</f>
        <v>Scarf</v>
      </c>
      <c r="D717" t="str">
        <f ca="1">_xlfn.XLOOKUP(C717,Products!A:A,Products!B:B)</f>
        <v>Accessories</v>
      </c>
      <c r="E717" t="str" cm="1">
        <f t="array" aca="1" ref="E717" ca="1">INDEX(Regions!$A$2:$A$7,RANDBETWEEN(1,6))</f>
        <v>Galway</v>
      </c>
      <c r="F717">
        <f t="shared" ca="1" si="46"/>
        <v>5</v>
      </c>
      <c r="G717">
        <f ca="1">VLOOKUP(C717,Products!$A$2:$C$9,3,FALSE)</f>
        <v>20</v>
      </c>
      <c r="H717">
        <f t="shared" ca="1" si="47"/>
        <v>100</v>
      </c>
    </row>
    <row r="718" spans="1:8" x14ac:dyDescent="0.35">
      <c r="A718">
        <f t="shared" si="44"/>
        <v>1717</v>
      </c>
      <c r="B718" s="2">
        <f t="shared" ca="1" si="45"/>
        <v>45540</v>
      </c>
      <c r="C718" t="str" cm="1">
        <f t="array" aca="1" ref="C718" ca="1">INDEX(Products!$A$2:$A$9,RANDBETWEEN(1,8))</f>
        <v>Home Jersey</v>
      </c>
      <c r="D718" t="str">
        <f ca="1">_xlfn.XLOOKUP(C718,Products!A:A,Products!B:B)</f>
        <v>Jerseys</v>
      </c>
      <c r="E718" t="str" cm="1">
        <f t="array" aca="1" ref="E718" ca="1">INDEX(Regions!$A$2:$A$7,RANDBETWEEN(1,6))</f>
        <v>Galway</v>
      </c>
      <c r="F718">
        <f t="shared" ca="1" si="46"/>
        <v>5</v>
      </c>
      <c r="G718">
        <f ca="1">VLOOKUP(C718,Products!$A$2:$C$9,3,FALSE)</f>
        <v>80</v>
      </c>
      <c r="H718">
        <f t="shared" ca="1" si="47"/>
        <v>400</v>
      </c>
    </row>
    <row r="719" spans="1:8" x14ac:dyDescent="0.35">
      <c r="A719">
        <f t="shared" si="44"/>
        <v>1718</v>
      </c>
      <c r="B719" s="2">
        <f t="shared" ca="1" si="45"/>
        <v>45554</v>
      </c>
      <c r="C719" t="str" cm="1">
        <f t="array" aca="1" ref="C719" ca="1">INDEX(Products!$A$2:$A$9,RANDBETWEEN(1,8))</f>
        <v>Home Jersey</v>
      </c>
      <c r="D719" t="str">
        <f ca="1">_xlfn.XLOOKUP(C719,Products!A:A,Products!B:B)</f>
        <v>Jerseys</v>
      </c>
      <c r="E719" t="str" cm="1">
        <f t="array" aca="1" ref="E719" ca="1">INDEX(Regions!$A$2:$A$7,RANDBETWEEN(1,6))</f>
        <v>Galway</v>
      </c>
      <c r="F719">
        <f t="shared" ca="1" si="46"/>
        <v>2</v>
      </c>
      <c r="G719">
        <f ca="1">VLOOKUP(C719,Products!$A$2:$C$9,3,FALSE)</f>
        <v>80</v>
      </c>
      <c r="H719">
        <f t="shared" ca="1" si="47"/>
        <v>160</v>
      </c>
    </row>
    <row r="720" spans="1:8" x14ac:dyDescent="0.35">
      <c r="A720">
        <f t="shared" si="44"/>
        <v>1719</v>
      </c>
      <c r="B720" s="2">
        <f t="shared" ca="1" si="45"/>
        <v>45536</v>
      </c>
      <c r="C720" t="str" cm="1">
        <f t="array" aca="1" ref="C720" ca="1">INDEX(Products!$A$2:$A$9,RANDBETWEEN(1,8))</f>
        <v>Away Jersey</v>
      </c>
      <c r="D720" t="str">
        <f ca="1">_xlfn.XLOOKUP(C720,Products!A:A,Products!B:B)</f>
        <v>Jerseys</v>
      </c>
      <c r="E720" t="str" cm="1">
        <f t="array" aca="1" ref="E720" ca="1">INDEX(Regions!$A$2:$A$7,RANDBETWEEN(1,6))</f>
        <v>Galway</v>
      </c>
      <c r="F720">
        <f t="shared" ca="1" si="46"/>
        <v>1</v>
      </c>
      <c r="G720">
        <f ca="1">VLOOKUP(C720,Products!$A$2:$C$9,3,FALSE)</f>
        <v>80</v>
      </c>
      <c r="H720">
        <f t="shared" ca="1" si="47"/>
        <v>80</v>
      </c>
    </row>
    <row r="721" spans="1:8" x14ac:dyDescent="0.35">
      <c r="A721">
        <f t="shared" si="44"/>
        <v>1720</v>
      </c>
      <c r="B721" s="2">
        <f t="shared" ca="1" si="45"/>
        <v>45347</v>
      </c>
      <c r="C721" t="str" cm="1">
        <f t="array" aca="1" ref="C721" ca="1">INDEX(Products!$A$2:$A$9,RANDBETWEEN(1,8))</f>
        <v>Jacket</v>
      </c>
      <c r="D721" t="str">
        <f ca="1">_xlfn.XLOOKUP(C721,Products!A:A,Products!B:B)</f>
        <v>Training Wear</v>
      </c>
      <c r="E721" t="str" cm="1">
        <f t="array" aca="1" ref="E721" ca="1">INDEX(Regions!$A$2:$A$7,RANDBETWEEN(1,6))</f>
        <v>Limerick</v>
      </c>
      <c r="F721">
        <f t="shared" ca="1" si="46"/>
        <v>3</v>
      </c>
      <c r="G721">
        <f ca="1">VLOOKUP(C721,Products!$A$2:$C$9,3,FALSE)</f>
        <v>90</v>
      </c>
      <c r="H721">
        <f t="shared" ca="1" si="47"/>
        <v>270</v>
      </c>
    </row>
    <row r="722" spans="1:8" x14ac:dyDescent="0.35">
      <c r="A722">
        <f t="shared" si="44"/>
        <v>1721</v>
      </c>
      <c r="B722" s="2">
        <f t="shared" ca="1" si="45"/>
        <v>45562</v>
      </c>
      <c r="C722" t="str" cm="1">
        <f t="array" aca="1" ref="C722" ca="1">INDEX(Products!$A$2:$A$9,RANDBETWEEN(1,8))</f>
        <v>Football</v>
      </c>
      <c r="D722" t="str">
        <f ca="1">_xlfn.XLOOKUP(C722,Products!A:A,Products!B:B)</f>
        <v>Equipment</v>
      </c>
      <c r="E722" t="str" cm="1">
        <f t="array" aca="1" ref="E722" ca="1">INDEX(Regions!$A$2:$A$7,RANDBETWEEN(1,6))</f>
        <v>Galway</v>
      </c>
      <c r="F722">
        <f t="shared" ca="1" si="46"/>
        <v>2</v>
      </c>
      <c r="G722">
        <f ca="1">VLOOKUP(C722,Products!$A$2:$C$9,3,FALSE)</f>
        <v>30</v>
      </c>
      <c r="H722">
        <f t="shared" ca="1" si="47"/>
        <v>60</v>
      </c>
    </row>
    <row r="723" spans="1:8" x14ac:dyDescent="0.35">
      <c r="A723">
        <f t="shared" si="44"/>
        <v>1722</v>
      </c>
      <c r="B723" s="2">
        <f t="shared" ca="1" si="45"/>
        <v>45840</v>
      </c>
      <c r="C723" t="str" cm="1">
        <f t="array" aca="1" ref="C723" ca="1">INDEX(Products!$A$2:$A$9,RANDBETWEEN(1,8))</f>
        <v>Football</v>
      </c>
      <c r="D723" t="str">
        <f ca="1">_xlfn.XLOOKUP(C723,Products!A:A,Products!B:B)</f>
        <v>Equipment</v>
      </c>
      <c r="E723" t="str" cm="1">
        <f t="array" aca="1" ref="E723" ca="1">INDEX(Regions!$A$2:$A$7,RANDBETWEEN(1,6))</f>
        <v>Dublin</v>
      </c>
      <c r="F723">
        <f t="shared" ca="1" si="46"/>
        <v>2</v>
      </c>
      <c r="G723">
        <f ca="1">VLOOKUP(C723,Products!$A$2:$C$9,3,FALSE)</f>
        <v>30</v>
      </c>
      <c r="H723">
        <f t="shared" ca="1" si="47"/>
        <v>60</v>
      </c>
    </row>
    <row r="724" spans="1:8" x14ac:dyDescent="0.35">
      <c r="A724">
        <f t="shared" si="44"/>
        <v>1723</v>
      </c>
      <c r="B724" s="2">
        <f t="shared" ca="1" si="45"/>
        <v>45957</v>
      </c>
      <c r="C724" t="str" cm="1">
        <f t="array" aca="1" ref="C724" ca="1">INDEX(Products!$A$2:$A$9,RANDBETWEEN(1,8))</f>
        <v>Jacket</v>
      </c>
      <c r="D724" t="str">
        <f ca="1">_xlfn.XLOOKUP(C724,Products!A:A,Products!B:B)</f>
        <v>Training Wear</v>
      </c>
      <c r="E724" t="str" cm="1">
        <f t="array" aca="1" ref="E724" ca="1">INDEX(Regions!$A$2:$A$7,RANDBETWEEN(1,6))</f>
        <v>Belfast</v>
      </c>
      <c r="F724">
        <f t="shared" ca="1" si="46"/>
        <v>1</v>
      </c>
      <c r="G724">
        <f ca="1">VLOOKUP(C724,Products!$A$2:$C$9,3,FALSE)</f>
        <v>90</v>
      </c>
      <c r="H724">
        <f t="shared" ca="1" si="47"/>
        <v>90</v>
      </c>
    </row>
    <row r="725" spans="1:8" x14ac:dyDescent="0.35">
      <c r="A725">
        <f t="shared" si="44"/>
        <v>1724</v>
      </c>
      <c r="B725" s="2">
        <f t="shared" ca="1" si="45"/>
        <v>45414</v>
      </c>
      <c r="C725" t="str" cm="1">
        <f t="array" aca="1" ref="C725" ca="1">INDEX(Products!$A$2:$A$9,RANDBETWEEN(1,8))</f>
        <v>Hat</v>
      </c>
      <c r="D725" t="str">
        <f ca="1">_xlfn.XLOOKUP(C725,Products!A:A,Products!B:B)</f>
        <v>Accessories</v>
      </c>
      <c r="E725" t="str" cm="1">
        <f t="array" aca="1" ref="E725" ca="1">INDEX(Regions!$A$2:$A$7,RANDBETWEEN(1,6))</f>
        <v>Cork</v>
      </c>
      <c r="F725">
        <f t="shared" ca="1" si="46"/>
        <v>5</v>
      </c>
      <c r="G725">
        <f ca="1">VLOOKUP(C725,Products!$A$2:$C$9,3,FALSE)</f>
        <v>25</v>
      </c>
      <c r="H725">
        <f t="shared" ca="1" si="47"/>
        <v>125</v>
      </c>
    </row>
    <row r="726" spans="1:8" x14ac:dyDescent="0.35">
      <c r="A726">
        <f t="shared" si="44"/>
        <v>1725</v>
      </c>
      <c r="B726" s="2">
        <f t="shared" ca="1" si="45"/>
        <v>45405</v>
      </c>
      <c r="C726" t="str" cm="1">
        <f t="array" aca="1" ref="C726" ca="1">INDEX(Products!$A$2:$A$9,RANDBETWEEN(1,8))</f>
        <v>Jacket</v>
      </c>
      <c r="D726" t="str">
        <f ca="1">_xlfn.XLOOKUP(C726,Products!A:A,Products!B:B)</f>
        <v>Training Wear</v>
      </c>
      <c r="E726" t="str" cm="1">
        <f t="array" aca="1" ref="E726" ca="1">INDEX(Regions!$A$2:$A$7,RANDBETWEEN(1,6))</f>
        <v>Waterford</v>
      </c>
      <c r="F726">
        <f t="shared" ca="1" si="46"/>
        <v>3</v>
      </c>
      <c r="G726">
        <f ca="1">VLOOKUP(C726,Products!$A$2:$C$9,3,FALSE)</f>
        <v>90</v>
      </c>
      <c r="H726">
        <f t="shared" ca="1" si="47"/>
        <v>270</v>
      </c>
    </row>
    <row r="727" spans="1:8" x14ac:dyDescent="0.35">
      <c r="A727">
        <f t="shared" si="44"/>
        <v>1726</v>
      </c>
      <c r="B727" s="2">
        <f t="shared" ca="1" si="45"/>
        <v>45892</v>
      </c>
      <c r="C727" t="str" cm="1">
        <f t="array" aca="1" ref="C727" ca="1">INDEX(Products!$A$2:$A$9,RANDBETWEEN(1,8))</f>
        <v>Home Jersey</v>
      </c>
      <c r="D727" t="str">
        <f ca="1">_xlfn.XLOOKUP(C727,Products!A:A,Products!B:B)</f>
        <v>Jerseys</v>
      </c>
      <c r="E727" t="str" cm="1">
        <f t="array" aca="1" ref="E727" ca="1">INDEX(Regions!$A$2:$A$7,RANDBETWEEN(1,6))</f>
        <v>Limerick</v>
      </c>
      <c r="F727">
        <f t="shared" ca="1" si="46"/>
        <v>5</v>
      </c>
      <c r="G727">
        <f ca="1">VLOOKUP(C727,Products!$A$2:$C$9,3,FALSE)</f>
        <v>80</v>
      </c>
      <c r="H727">
        <f t="shared" ca="1" si="47"/>
        <v>400</v>
      </c>
    </row>
    <row r="728" spans="1:8" x14ac:dyDescent="0.35">
      <c r="A728">
        <f t="shared" si="44"/>
        <v>1727</v>
      </c>
      <c r="B728" s="2">
        <f t="shared" ca="1" si="45"/>
        <v>45521</v>
      </c>
      <c r="C728" t="str" cm="1">
        <f t="array" aca="1" ref="C728" ca="1">INDEX(Products!$A$2:$A$9,RANDBETWEEN(1,8))</f>
        <v>Jacket</v>
      </c>
      <c r="D728" t="str">
        <f ca="1">_xlfn.XLOOKUP(C728,Products!A:A,Products!B:B)</f>
        <v>Training Wear</v>
      </c>
      <c r="E728" t="str" cm="1">
        <f t="array" aca="1" ref="E728" ca="1">INDEX(Regions!$A$2:$A$7,RANDBETWEEN(1,6))</f>
        <v>Waterford</v>
      </c>
      <c r="F728">
        <f t="shared" ca="1" si="46"/>
        <v>4</v>
      </c>
      <c r="G728">
        <f ca="1">VLOOKUP(C728,Products!$A$2:$C$9,3,FALSE)</f>
        <v>90</v>
      </c>
      <c r="H728">
        <f t="shared" ca="1" si="47"/>
        <v>360</v>
      </c>
    </row>
    <row r="729" spans="1:8" x14ac:dyDescent="0.35">
      <c r="A729">
        <f t="shared" si="44"/>
        <v>1728</v>
      </c>
      <c r="B729" s="2">
        <f t="shared" ca="1" si="45"/>
        <v>45507</v>
      </c>
      <c r="C729" t="str" cm="1">
        <f t="array" aca="1" ref="C729" ca="1">INDEX(Products!$A$2:$A$9,RANDBETWEEN(1,8))</f>
        <v>Third Jersey</v>
      </c>
      <c r="D729" t="str">
        <f ca="1">_xlfn.XLOOKUP(C729,Products!A:A,Products!B:B)</f>
        <v>Jerseys</v>
      </c>
      <c r="E729" t="str" cm="1">
        <f t="array" aca="1" ref="E729" ca="1">INDEX(Regions!$A$2:$A$7,RANDBETWEEN(1,6))</f>
        <v>Limerick</v>
      </c>
      <c r="F729">
        <f t="shared" ca="1" si="46"/>
        <v>2</v>
      </c>
      <c r="G729">
        <f ca="1">VLOOKUP(C729,Products!$A$2:$C$9,3,FALSE)</f>
        <v>85</v>
      </c>
      <c r="H729">
        <f t="shared" ca="1" si="47"/>
        <v>170</v>
      </c>
    </row>
    <row r="730" spans="1:8" x14ac:dyDescent="0.35">
      <c r="A730">
        <f t="shared" si="44"/>
        <v>1729</v>
      </c>
      <c r="B730" s="2">
        <f t="shared" ca="1" si="45"/>
        <v>45598</v>
      </c>
      <c r="C730" t="str" cm="1">
        <f t="array" aca="1" ref="C730" ca="1">INDEX(Products!$A$2:$A$9,RANDBETWEEN(1,8))</f>
        <v>Training Top</v>
      </c>
      <c r="D730" t="str">
        <f ca="1">_xlfn.XLOOKUP(C730,Products!A:A,Products!B:B)</f>
        <v>Training Wear</v>
      </c>
      <c r="E730" t="str" cm="1">
        <f t="array" aca="1" ref="E730" ca="1">INDEX(Regions!$A$2:$A$7,RANDBETWEEN(1,6))</f>
        <v>Dublin</v>
      </c>
      <c r="F730">
        <f t="shared" ca="1" si="46"/>
        <v>3</v>
      </c>
      <c r="G730">
        <f ca="1">VLOOKUP(C730,Products!$A$2:$C$9,3,FALSE)</f>
        <v>55</v>
      </c>
      <c r="H730">
        <f t="shared" ca="1" si="47"/>
        <v>165</v>
      </c>
    </row>
    <row r="731" spans="1:8" x14ac:dyDescent="0.35">
      <c r="A731">
        <f t="shared" si="44"/>
        <v>1730</v>
      </c>
      <c r="B731" s="2">
        <f t="shared" ca="1" si="45"/>
        <v>45900</v>
      </c>
      <c r="C731" t="str" cm="1">
        <f t="array" aca="1" ref="C731" ca="1">INDEX(Products!$A$2:$A$9,RANDBETWEEN(1,8))</f>
        <v>Home Jersey</v>
      </c>
      <c r="D731" t="str">
        <f ca="1">_xlfn.XLOOKUP(C731,Products!A:A,Products!B:B)</f>
        <v>Jerseys</v>
      </c>
      <c r="E731" t="str" cm="1">
        <f t="array" aca="1" ref="E731" ca="1">INDEX(Regions!$A$2:$A$7,RANDBETWEEN(1,6))</f>
        <v>Belfast</v>
      </c>
      <c r="F731">
        <f t="shared" ca="1" si="46"/>
        <v>1</v>
      </c>
      <c r="G731">
        <f ca="1">VLOOKUP(C731,Products!$A$2:$C$9,3,FALSE)</f>
        <v>80</v>
      </c>
      <c r="H731">
        <f t="shared" ca="1" si="47"/>
        <v>80</v>
      </c>
    </row>
    <row r="732" spans="1:8" x14ac:dyDescent="0.35">
      <c r="A732">
        <f t="shared" si="44"/>
        <v>1731</v>
      </c>
      <c r="B732" s="2">
        <f t="shared" ca="1" si="45"/>
        <v>45539</v>
      </c>
      <c r="C732" t="str" cm="1">
        <f t="array" aca="1" ref="C732" ca="1">INDEX(Products!$A$2:$A$9,RANDBETWEEN(1,8))</f>
        <v>Hat</v>
      </c>
      <c r="D732" t="str">
        <f ca="1">_xlfn.XLOOKUP(C732,Products!A:A,Products!B:B)</f>
        <v>Accessories</v>
      </c>
      <c r="E732" t="str" cm="1">
        <f t="array" aca="1" ref="E732" ca="1">INDEX(Regions!$A$2:$A$7,RANDBETWEEN(1,6))</f>
        <v>Dublin</v>
      </c>
      <c r="F732">
        <f t="shared" ca="1" si="46"/>
        <v>4</v>
      </c>
      <c r="G732">
        <f ca="1">VLOOKUP(C732,Products!$A$2:$C$9,3,FALSE)</f>
        <v>25</v>
      </c>
      <c r="H732">
        <f t="shared" ca="1" si="47"/>
        <v>100</v>
      </c>
    </row>
    <row r="733" spans="1:8" x14ac:dyDescent="0.35">
      <c r="A733">
        <f t="shared" si="44"/>
        <v>1732</v>
      </c>
      <c r="B733" s="2">
        <f t="shared" ca="1" si="45"/>
        <v>45574</v>
      </c>
      <c r="C733" t="str" cm="1">
        <f t="array" aca="1" ref="C733" ca="1">INDEX(Products!$A$2:$A$9,RANDBETWEEN(1,8))</f>
        <v>Home Jersey</v>
      </c>
      <c r="D733" t="str">
        <f ca="1">_xlfn.XLOOKUP(C733,Products!A:A,Products!B:B)</f>
        <v>Jerseys</v>
      </c>
      <c r="E733" t="str" cm="1">
        <f t="array" aca="1" ref="E733" ca="1">INDEX(Regions!$A$2:$A$7,RANDBETWEEN(1,6))</f>
        <v>Limerick</v>
      </c>
      <c r="F733">
        <f t="shared" ca="1" si="46"/>
        <v>5</v>
      </c>
      <c r="G733">
        <f ca="1">VLOOKUP(C733,Products!$A$2:$C$9,3,FALSE)</f>
        <v>80</v>
      </c>
      <c r="H733">
        <f t="shared" ca="1" si="47"/>
        <v>400</v>
      </c>
    </row>
    <row r="734" spans="1:8" x14ac:dyDescent="0.35">
      <c r="A734">
        <f t="shared" si="44"/>
        <v>1733</v>
      </c>
      <c r="B734" s="2">
        <f t="shared" ca="1" si="45"/>
        <v>45570</v>
      </c>
      <c r="C734" t="str" cm="1">
        <f t="array" aca="1" ref="C734" ca="1">INDEX(Products!$A$2:$A$9,RANDBETWEEN(1,8))</f>
        <v>Hat</v>
      </c>
      <c r="D734" t="str">
        <f ca="1">_xlfn.XLOOKUP(C734,Products!A:A,Products!B:B)</f>
        <v>Accessories</v>
      </c>
      <c r="E734" t="str" cm="1">
        <f t="array" aca="1" ref="E734" ca="1">INDEX(Regions!$A$2:$A$7,RANDBETWEEN(1,6))</f>
        <v>Waterford</v>
      </c>
      <c r="F734">
        <f t="shared" ca="1" si="46"/>
        <v>4</v>
      </c>
      <c r="G734">
        <f ca="1">VLOOKUP(C734,Products!$A$2:$C$9,3,FALSE)</f>
        <v>25</v>
      </c>
      <c r="H734">
        <f t="shared" ca="1" si="47"/>
        <v>100</v>
      </c>
    </row>
    <row r="735" spans="1:8" x14ac:dyDescent="0.35">
      <c r="A735">
        <f t="shared" si="44"/>
        <v>1734</v>
      </c>
      <c r="B735" s="2">
        <f t="shared" ca="1" si="45"/>
        <v>45519</v>
      </c>
      <c r="C735" t="str" cm="1">
        <f t="array" aca="1" ref="C735" ca="1">INDEX(Products!$A$2:$A$9,RANDBETWEEN(1,8))</f>
        <v>Scarf</v>
      </c>
      <c r="D735" t="str">
        <f ca="1">_xlfn.XLOOKUP(C735,Products!A:A,Products!B:B)</f>
        <v>Accessories</v>
      </c>
      <c r="E735" t="str" cm="1">
        <f t="array" aca="1" ref="E735" ca="1">INDEX(Regions!$A$2:$A$7,RANDBETWEEN(1,6))</f>
        <v>Dublin</v>
      </c>
      <c r="F735">
        <f t="shared" ca="1" si="46"/>
        <v>3</v>
      </c>
      <c r="G735">
        <f ca="1">VLOOKUP(C735,Products!$A$2:$C$9,3,FALSE)</f>
        <v>20</v>
      </c>
      <c r="H735">
        <f t="shared" ca="1" si="47"/>
        <v>60</v>
      </c>
    </row>
    <row r="736" spans="1:8" x14ac:dyDescent="0.35">
      <c r="A736">
        <f t="shared" si="44"/>
        <v>1735</v>
      </c>
      <c r="B736" s="2">
        <f t="shared" ca="1" si="45"/>
        <v>45935</v>
      </c>
      <c r="C736" t="str" cm="1">
        <f t="array" aca="1" ref="C736" ca="1">INDEX(Products!$A$2:$A$9,RANDBETWEEN(1,8))</f>
        <v>Third Jersey</v>
      </c>
      <c r="D736" t="str">
        <f ca="1">_xlfn.XLOOKUP(C736,Products!A:A,Products!B:B)</f>
        <v>Jerseys</v>
      </c>
      <c r="E736" t="str" cm="1">
        <f t="array" aca="1" ref="E736" ca="1">INDEX(Regions!$A$2:$A$7,RANDBETWEEN(1,6))</f>
        <v>Dublin</v>
      </c>
      <c r="F736">
        <f t="shared" ca="1" si="46"/>
        <v>4</v>
      </c>
      <c r="G736">
        <f ca="1">VLOOKUP(C736,Products!$A$2:$C$9,3,FALSE)</f>
        <v>85</v>
      </c>
      <c r="H736">
        <f t="shared" ca="1" si="47"/>
        <v>340</v>
      </c>
    </row>
    <row r="737" spans="1:8" x14ac:dyDescent="0.35">
      <c r="A737">
        <f t="shared" si="44"/>
        <v>1736</v>
      </c>
      <c r="B737" s="2">
        <f t="shared" ca="1" si="45"/>
        <v>45475</v>
      </c>
      <c r="C737" t="str" cm="1">
        <f t="array" aca="1" ref="C737" ca="1">INDEX(Products!$A$2:$A$9,RANDBETWEEN(1,8))</f>
        <v>Third Jersey</v>
      </c>
      <c r="D737" t="str">
        <f ca="1">_xlfn.XLOOKUP(C737,Products!A:A,Products!B:B)</f>
        <v>Jerseys</v>
      </c>
      <c r="E737" t="str" cm="1">
        <f t="array" aca="1" ref="E737" ca="1">INDEX(Regions!$A$2:$A$7,RANDBETWEEN(1,6))</f>
        <v>Cork</v>
      </c>
      <c r="F737">
        <f t="shared" ca="1" si="46"/>
        <v>4</v>
      </c>
      <c r="G737">
        <f ca="1">VLOOKUP(C737,Products!$A$2:$C$9,3,FALSE)</f>
        <v>85</v>
      </c>
      <c r="H737">
        <f t="shared" ca="1" si="47"/>
        <v>340</v>
      </c>
    </row>
    <row r="738" spans="1:8" x14ac:dyDescent="0.35">
      <c r="A738">
        <f t="shared" si="44"/>
        <v>1737</v>
      </c>
      <c r="B738" s="2">
        <f t="shared" ca="1" si="45"/>
        <v>45401</v>
      </c>
      <c r="C738" t="str" cm="1">
        <f t="array" aca="1" ref="C738" ca="1">INDEX(Products!$A$2:$A$9,RANDBETWEEN(1,8))</f>
        <v>Football</v>
      </c>
      <c r="D738" t="str">
        <f ca="1">_xlfn.XLOOKUP(C738,Products!A:A,Products!B:B)</f>
        <v>Equipment</v>
      </c>
      <c r="E738" t="str" cm="1">
        <f t="array" aca="1" ref="E738" ca="1">INDEX(Regions!$A$2:$A$7,RANDBETWEEN(1,6))</f>
        <v>Limerick</v>
      </c>
      <c r="F738">
        <f t="shared" ca="1" si="46"/>
        <v>5</v>
      </c>
      <c r="G738">
        <f ca="1">VLOOKUP(C738,Products!$A$2:$C$9,3,FALSE)</f>
        <v>30</v>
      </c>
      <c r="H738">
        <f t="shared" ca="1" si="47"/>
        <v>150</v>
      </c>
    </row>
    <row r="739" spans="1:8" x14ac:dyDescent="0.35">
      <c r="A739">
        <f t="shared" si="44"/>
        <v>1738</v>
      </c>
      <c r="B739" s="2">
        <f t="shared" ca="1" si="45"/>
        <v>45674</v>
      </c>
      <c r="C739" t="str" cm="1">
        <f t="array" aca="1" ref="C739" ca="1">INDEX(Products!$A$2:$A$9,RANDBETWEEN(1,8))</f>
        <v>Training Top</v>
      </c>
      <c r="D739" t="str">
        <f ca="1">_xlfn.XLOOKUP(C739,Products!A:A,Products!B:B)</f>
        <v>Training Wear</v>
      </c>
      <c r="E739" t="str" cm="1">
        <f t="array" aca="1" ref="E739" ca="1">INDEX(Regions!$A$2:$A$7,RANDBETWEEN(1,6))</f>
        <v>Waterford</v>
      </c>
      <c r="F739">
        <f t="shared" ca="1" si="46"/>
        <v>1</v>
      </c>
      <c r="G739">
        <f ca="1">VLOOKUP(C739,Products!$A$2:$C$9,3,FALSE)</f>
        <v>55</v>
      </c>
      <c r="H739">
        <f t="shared" ca="1" si="47"/>
        <v>55</v>
      </c>
    </row>
    <row r="740" spans="1:8" x14ac:dyDescent="0.35">
      <c r="A740">
        <f t="shared" si="44"/>
        <v>1739</v>
      </c>
      <c r="B740" s="2">
        <f t="shared" ca="1" si="45"/>
        <v>45607</v>
      </c>
      <c r="C740" t="str" cm="1">
        <f t="array" aca="1" ref="C740" ca="1">INDEX(Products!$A$2:$A$9,RANDBETWEEN(1,8))</f>
        <v>Football</v>
      </c>
      <c r="D740" t="str">
        <f ca="1">_xlfn.XLOOKUP(C740,Products!A:A,Products!B:B)</f>
        <v>Equipment</v>
      </c>
      <c r="E740" t="str" cm="1">
        <f t="array" aca="1" ref="E740" ca="1">INDEX(Regions!$A$2:$A$7,RANDBETWEEN(1,6))</f>
        <v>Belfast</v>
      </c>
      <c r="F740">
        <f t="shared" ca="1" si="46"/>
        <v>2</v>
      </c>
      <c r="G740">
        <f ca="1">VLOOKUP(C740,Products!$A$2:$C$9,3,FALSE)</f>
        <v>30</v>
      </c>
      <c r="H740">
        <f t="shared" ca="1" si="47"/>
        <v>60</v>
      </c>
    </row>
    <row r="741" spans="1:8" x14ac:dyDescent="0.35">
      <c r="A741">
        <f t="shared" si="44"/>
        <v>1740</v>
      </c>
      <c r="B741" s="2">
        <f t="shared" ca="1" si="45"/>
        <v>45730</v>
      </c>
      <c r="C741" t="str" cm="1">
        <f t="array" aca="1" ref="C741" ca="1">INDEX(Products!$A$2:$A$9,RANDBETWEEN(1,8))</f>
        <v>Jacket</v>
      </c>
      <c r="D741" t="str">
        <f ca="1">_xlfn.XLOOKUP(C741,Products!A:A,Products!B:B)</f>
        <v>Training Wear</v>
      </c>
      <c r="E741" t="str" cm="1">
        <f t="array" aca="1" ref="E741" ca="1">INDEX(Regions!$A$2:$A$7,RANDBETWEEN(1,6))</f>
        <v>Galway</v>
      </c>
      <c r="F741">
        <f t="shared" ca="1" si="46"/>
        <v>1</v>
      </c>
      <c r="G741">
        <f ca="1">VLOOKUP(C741,Products!$A$2:$C$9,3,FALSE)</f>
        <v>90</v>
      </c>
      <c r="H741">
        <f t="shared" ca="1" si="47"/>
        <v>90</v>
      </c>
    </row>
    <row r="742" spans="1:8" x14ac:dyDescent="0.35">
      <c r="A742">
        <f t="shared" si="44"/>
        <v>1741</v>
      </c>
      <c r="B742" s="2">
        <f t="shared" ca="1" si="45"/>
        <v>45524</v>
      </c>
      <c r="C742" t="str" cm="1">
        <f t="array" aca="1" ref="C742" ca="1">INDEX(Products!$A$2:$A$9,RANDBETWEEN(1,8))</f>
        <v>Hat</v>
      </c>
      <c r="D742" t="str">
        <f ca="1">_xlfn.XLOOKUP(C742,Products!A:A,Products!B:B)</f>
        <v>Accessories</v>
      </c>
      <c r="E742" t="str" cm="1">
        <f t="array" aca="1" ref="E742" ca="1">INDEX(Regions!$A$2:$A$7,RANDBETWEEN(1,6))</f>
        <v>Limerick</v>
      </c>
      <c r="F742">
        <f t="shared" ca="1" si="46"/>
        <v>5</v>
      </c>
      <c r="G742">
        <f ca="1">VLOOKUP(C742,Products!$A$2:$C$9,3,FALSE)</f>
        <v>25</v>
      </c>
      <c r="H742">
        <f t="shared" ca="1" si="47"/>
        <v>125</v>
      </c>
    </row>
    <row r="743" spans="1:8" x14ac:dyDescent="0.35">
      <c r="A743">
        <f t="shared" si="44"/>
        <v>1742</v>
      </c>
      <c r="B743" s="2">
        <f t="shared" ca="1" si="45"/>
        <v>45679</v>
      </c>
      <c r="C743" t="str" cm="1">
        <f t="array" aca="1" ref="C743" ca="1">INDEX(Products!$A$2:$A$9,RANDBETWEEN(1,8))</f>
        <v>Scarf</v>
      </c>
      <c r="D743" t="str">
        <f ca="1">_xlfn.XLOOKUP(C743,Products!A:A,Products!B:B)</f>
        <v>Accessories</v>
      </c>
      <c r="E743" t="str" cm="1">
        <f t="array" aca="1" ref="E743" ca="1">INDEX(Regions!$A$2:$A$7,RANDBETWEEN(1,6))</f>
        <v>Limerick</v>
      </c>
      <c r="F743">
        <f t="shared" ca="1" si="46"/>
        <v>4</v>
      </c>
      <c r="G743">
        <f ca="1">VLOOKUP(C743,Products!$A$2:$C$9,3,FALSE)</f>
        <v>20</v>
      </c>
      <c r="H743">
        <f t="shared" ca="1" si="47"/>
        <v>80</v>
      </c>
    </row>
    <row r="744" spans="1:8" x14ac:dyDescent="0.35">
      <c r="A744">
        <f t="shared" si="44"/>
        <v>1743</v>
      </c>
      <c r="B744" s="2">
        <f t="shared" ca="1" si="45"/>
        <v>45959</v>
      </c>
      <c r="C744" t="str" cm="1">
        <f t="array" aca="1" ref="C744" ca="1">INDEX(Products!$A$2:$A$9,RANDBETWEEN(1,8))</f>
        <v>Hat</v>
      </c>
      <c r="D744" t="str">
        <f ca="1">_xlfn.XLOOKUP(C744,Products!A:A,Products!B:B)</f>
        <v>Accessories</v>
      </c>
      <c r="E744" t="str" cm="1">
        <f t="array" aca="1" ref="E744" ca="1">INDEX(Regions!$A$2:$A$7,RANDBETWEEN(1,6))</f>
        <v>Dublin</v>
      </c>
      <c r="F744">
        <f t="shared" ca="1" si="46"/>
        <v>1</v>
      </c>
      <c r="G744">
        <f ca="1">VLOOKUP(C744,Products!$A$2:$C$9,3,FALSE)</f>
        <v>25</v>
      </c>
      <c r="H744">
        <f t="shared" ca="1" si="47"/>
        <v>25</v>
      </c>
    </row>
    <row r="745" spans="1:8" x14ac:dyDescent="0.35">
      <c r="A745">
        <f t="shared" si="44"/>
        <v>1744</v>
      </c>
      <c r="B745" s="2">
        <f t="shared" ca="1" si="45"/>
        <v>45847</v>
      </c>
      <c r="C745" t="str" cm="1">
        <f t="array" aca="1" ref="C745" ca="1">INDEX(Products!$A$2:$A$9,RANDBETWEEN(1,8))</f>
        <v>Training Top</v>
      </c>
      <c r="D745" t="str">
        <f ca="1">_xlfn.XLOOKUP(C745,Products!A:A,Products!B:B)</f>
        <v>Training Wear</v>
      </c>
      <c r="E745" t="str" cm="1">
        <f t="array" aca="1" ref="E745" ca="1">INDEX(Regions!$A$2:$A$7,RANDBETWEEN(1,6))</f>
        <v>Dublin</v>
      </c>
      <c r="F745">
        <f t="shared" ca="1" si="46"/>
        <v>2</v>
      </c>
      <c r="G745">
        <f ca="1">VLOOKUP(C745,Products!$A$2:$C$9,3,FALSE)</f>
        <v>55</v>
      </c>
      <c r="H745">
        <f t="shared" ca="1" si="47"/>
        <v>110</v>
      </c>
    </row>
    <row r="746" spans="1:8" x14ac:dyDescent="0.35">
      <c r="A746">
        <f t="shared" si="44"/>
        <v>1745</v>
      </c>
      <c r="B746" s="2">
        <f t="shared" ca="1" si="45"/>
        <v>45395</v>
      </c>
      <c r="C746" t="str" cm="1">
        <f t="array" aca="1" ref="C746" ca="1">INDEX(Products!$A$2:$A$9,RANDBETWEEN(1,8))</f>
        <v>Home Jersey</v>
      </c>
      <c r="D746" t="str">
        <f ca="1">_xlfn.XLOOKUP(C746,Products!A:A,Products!B:B)</f>
        <v>Jerseys</v>
      </c>
      <c r="E746" t="str" cm="1">
        <f t="array" aca="1" ref="E746" ca="1">INDEX(Regions!$A$2:$A$7,RANDBETWEEN(1,6))</f>
        <v>Cork</v>
      </c>
      <c r="F746">
        <f t="shared" ca="1" si="46"/>
        <v>4</v>
      </c>
      <c r="G746">
        <f ca="1">VLOOKUP(C746,Products!$A$2:$C$9,3,FALSE)</f>
        <v>80</v>
      </c>
      <c r="H746">
        <f t="shared" ca="1" si="47"/>
        <v>320</v>
      </c>
    </row>
    <row r="747" spans="1:8" x14ac:dyDescent="0.35">
      <c r="A747">
        <f t="shared" si="44"/>
        <v>1746</v>
      </c>
      <c r="B747" s="2">
        <f t="shared" ca="1" si="45"/>
        <v>45533</v>
      </c>
      <c r="C747" t="str" cm="1">
        <f t="array" aca="1" ref="C747" ca="1">INDEX(Products!$A$2:$A$9,RANDBETWEEN(1,8))</f>
        <v>Third Jersey</v>
      </c>
      <c r="D747" t="str">
        <f ca="1">_xlfn.XLOOKUP(C747,Products!A:A,Products!B:B)</f>
        <v>Jerseys</v>
      </c>
      <c r="E747" t="str" cm="1">
        <f t="array" aca="1" ref="E747" ca="1">INDEX(Regions!$A$2:$A$7,RANDBETWEEN(1,6))</f>
        <v>Galway</v>
      </c>
      <c r="F747">
        <f t="shared" ca="1" si="46"/>
        <v>4</v>
      </c>
      <c r="G747">
        <f ca="1">VLOOKUP(C747,Products!$A$2:$C$9,3,FALSE)</f>
        <v>85</v>
      </c>
      <c r="H747">
        <f t="shared" ca="1" si="47"/>
        <v>340</v>
      </c>
    </row>
    <row r="748" spans="1:8" x14ac:dyDescent="0.35">
      <c r="A748">
        <f t="shared" si="44"/>
        <v>1747</v>
      </c>
      <c r="B748" s="2">
        <f t="shared" ca="1" si="45"/>
        <v>45729</v>
      </c>
      <c r="C748" t="str" cm="1">
        <f t="array" aca="1" ref="C748" ca="1">INDEX(Products!$A$2:$A$9,RANDBETWEEN(1,8))</f>
        <v>Football</v>
      </c>
      <c r="D748" t="str">
        <f ca="1">_xlfn.XLOOKUP(C748,Products!A:A,Products!B:B)</f>
        <v>Equipment</v>
      </c>
      <c r="E748" t="str" cm="1">
        <f t="array" aca="1" ref="E748" ca="1">INDEX(Regions!$A$2:$A$7,RANDBETWEEN(1,6))</f>
        <v>Waterford</v>
      </c>
      <c r="F748">
        <f t="shared" ca="1" si="46"/>
        <v>5</v>
      </c>
      <c r="G748">
        <f ca="1">VLOOKUP(C748,Products!$A$2:$C$9,3,FALSE)</f>
        <v>30</v>
      </c>
      <c r="H748">
        <f t="shared" ca="1" si="47"/>
        <v>150</v>
      </c>
    </row>
    <row r="749" spans="1:8" x14ac:dyDescent="0.35">
      <c r="A749">
        <f t="shared" si="44"/>
        <v>1748</v>
      </c>
      <c r="B749" s="2">
        <f t="shared" ca="1" si="45"/>
        <v>45974</v>
      </c>
      <c r="C749" t="str" cm="1">
        <f t="array" aca="1" ref="C749" ca="1">INDEX(Products!$A$2:$A$9,RANDBETWEEN(1,8))</f>
        <v>Jacket</v>
      </c>
      <c r="D749" t="str">
        <f ca="1">_xlfn.XLOOKUP(C749,Products!A:A,Products!B:B)</f>
        <v>Training Wear</v>
      </c>
      <c r="E749" t="str" cm="1">
        <f t="array" aca="1" ref="E749" ca="1">INDEX(Regions!$A$2:$A$7,RANDBETWEEN(1,6))</f>
        <v>Belfast</v>
      </c>
      <c r="F749">
        <f t="shared" ca="1" si="46"/>
        <v>3</v>
      </c>
      <c r="G749">
        <f ca="1">VLOOKUP(C749,Products!$A$2:$C$9,3,FALSE)</f>
        <v>90</v>
      </c>
      <c r="H749">
        <f t="shared" ca="1" si="47"/>
        <v>270</v>
      </c>
    </row>
    <row r="750" spans="1:8" x14ac:dyDescent="0.35">
      <c r="A750">
        <f t="shared" si="44"/>
        <v>1749</v>
      </c>
      <c r="B750" s="2">
        <f t="shared" ca="1" si="45"/>
        <v>45478</v>
      </c>
      <c r="C750" t="str" cm="1">
        <f t="array" aca="1" ref="C750" ca="1">INDEX(Products!$A$2:$A$9,RANDBETWEEN(1,8))</f>
        <v>Away Jersey</v>
      </c>
      <c r="D750" t="str">
        <f ca="1">_xlfn.XLOOKUP(C750,Products!A:A,Products!B:B)</f>
        <v>Jerseys</v>
      </c>
      <c r="E750" t="str" cm="1">
        <f t="array" aca="1" ref="E750" ca="1">INDEX(Regions!$A$2:$A$7,RANDBETWEEN(1,6))</f>
        <v>Cork</v>
      </c>
      <c r="F750">
        <f t="shared" ca="1" si="46"/>
        <v>2</v>
      </c>
      <c r="G750">
        <f ca="1">VLOOKUP(C750,Products!$A$2:$C$9,3,FALSE)</f>
        <v>80</v>
      </c>
      <c r="H750">
        <f t="shared" ca="1" si="47"/>
        <v>160</v>
      </c>
    </row>
    <row r="751" spans="1:8" x14ac:dyDescent="0.35">
      <c r="A751">
        <f t="shared" si="44"/>
        <v>1750</v>
      </c>
      <c r="B751" s="2">
        <f t="shared" ca="1" si="45"/>
        <v>45809</v>
      </c>
      <c r="C751" t="str" cm="1">
        <f t="array" aca="1" ref="C751" ca="1">INDEX(Products!$A$2:$A$9,RANDBETWEEN(1,8))</f>
        <v>Training Top</v>
      </c>
      <c r="D751" t="str">
        <f ca="1">_xlfn.XLOOKUP(C751,Products!A:A,Products!B:B)</f>
        <v>Training Wear</v>
      </c>
      <c r="E751" t="str" cm="1">
        <f t="array" aca="1" ref="E751" ca="1">INDEX(Regions!$A$2:$A$7,RANDBETWEEN(1,6))</f>
        <v>Cork</v>
      </c>
      <c r="F751">
        <f t="shared" ca="1" si="46"/>
        <v>1</v>
      </c>
      <c r="G751">
        <f ca="1">VLOOKUP(C751,Products!$A$2:$C$9,3,FALSE)</f>
        <v>55</v>
      </c>
      <c r="H751">
        <f t="shared" ca="1" si="47"/>
        <v>55</v>
      </c>
    </row>
    <row r="752" spans="1:8" x14ac:dyDescent="0.35">
      <c r="A752">
        <f t="shared" si="44"/>
        <v>1751</v>
      </c>
      <c r="B752" s="2">
        <f t="shared" ca="1" si="45"/>
        <v>45368</v>
      </c>
      <c r="C752" t="str" cm="1">
        <f t="array" aca="1" ref="C752" ca="1">INDEX(Products!$A$2:$A$9,RANDBETWEEN(1,8))</f>
        <v>Third Jersey</v>
      </c>
      <c r="D752" t="str">
        <f ca="1">_xlfn.XLOOKUP(C752,Products!A:A,Products!B:B)</f>
        <v>Jerseys</v>
      </c>
      <c r="E752" t="str" cm="1">
        <f t="array" aca="1" ref="E752" ca="1">INDEX(Regions!$A$2:$A$7,RANDBETWEEN(1,6))</f>
        <v>Waterford</v>
      </c>
      <c r="F752">
        <f t="shared" ca="1" si="46"/>
        <v>1</v>
      </c>
      <c r="G752">
        <f ca="1">VLOOKUP(C752,Products!$A$2:$C$9,3,FALSE)</f>
        <v>85</v>
      </c>
      <c r="H752">
        <f t="shared" ca="1" si="47"/>
        <v>85</v>
      </c>
    </row>
    <row r="753" spans="1:8" x14ac:dyDescent="0.35">
      <c r="A753">
        <f t="shared" si="44"/>
        <v>1752</v>
      </c>
      <c r="B753" s="2">
        <f t="shared" ca="1" si="45"/>
        <v>45312</v>
      </c>
      <c r="C753" t="str" cm="1">
        <f t="array" aca="1" ref="C753" ca="1">INDEX(Products!$A$2:$A$9,RANDBETWEEN(1,8))</f>
        <v>Home Jersey</v>
      </c>
      <c r="D753" t="str">
        <f ca="1">_xlfn.XLOOKUP(C753,Products!A:A,Products!B:B)</f>
        <v>Jerseys</v>
      </c>
      <c r="E753" t="str" cm="1">
        <f t="array" aca="1" ref="E753" ca="1">INDEX(Regions!$A$2:$A$7,RANDBETWEEN(1,6))</f>
        <v>Limerick</v>
      </c>
      <c r="F753">
        <f t="shared" ca="1" si="46"/>
        <v>4</v>
      </c>
      <c r="G753">
        <f ca="1">VLOOKUP(C753,Products!$A$2:$C$9,3,FALSE)</f>
        <v>80</v>
      </c>
      <c r="H753">
        <f t="shared" ca="1" si="47"/>
        <v>320</v>
      </c>
    </row>
    <row r="754" spans="1:8" x14ac:dyDescent="0.35">
      <c r="A754">
        <f t="shared" si="44"/>
        <v>1753</v>
      </c>
      <c r="B754" s="2">
        <f t="shared" ca="1" si="45"/>
        <v>45976</v>
      </c>
      <c r="C754" t="str" cm="1">
        <f t="array" aca="1" ref="C754" ca="1">INDEX(Products!$A$2:$A$9,RANDBETWEEN(1,8))</f>
        <v>Third Jersey</v>
      </c>
      <c r="D754" t="str">
        <f ca="1">_xlfn.XLOOKUP(C754,Products!A:A,Products!B:B)</f>
        <v>Jerseys</v>
      </c>
      <c r="E754" t="str" cm="1">
        <f t="array" aca="1" ref="E754" ca="1">INDEX(Regions!$A$2:$A$7,RANDBETWEEN(1,6))</f>
        <v>Galway</v>
      </c>
      <c r="F754">
        <f t="shared" ca="1" si="46"/>
        <v>4</v>
      </c>
      <c r="G754">
        <f ca="1">VLOOKUP(C754,Products!$A$2:$C$9,3,FALSE)</f>
        <v>85</v>
      </c>
      <c r="H754">
        <f t="shared" ca="1" si="47"/>
        <v>340</v>
      </c>
    </row>
    <row r="755" spans="1:8" x14ac:dyDescent="0.35">
      <c r="A755">
        <f t="shared" si="44"/>
        <v>1754</v>
      </c>
      <c r="B755" s="2">
        <f t="shared" ca="1" si="45"/>
        <v>45760</v>
      </c>
      <c r="C755" t="str" cm="1">
        <f t="array" aca="1" ref="C755" ca="1">INDEX(Products!$A$2:$A$9,RANDBETWEEN(1,8))</f>
        <v>Away Jersey</v>
      </c>
      <c r="D755" t="str">
        <f ca="1">_xlfn.XLOOKUP(C755,Products!A:A,Products!B:B)</f>
        <v>Jerseys</v>
      </c>
      <c r="E755" t="str" cm="1">
        <f t="array" aca="1" ref="E755" ca="1">INDEX(Regions!$A$2:$A$7,RANDBETWEEN(1,6))</f>
        <v>Waterford</v>
      </c>
      <c r="F755">
        <f t="shared" ca="1" si="46"/>
        <v>5</v>
      </c>
      <c r="G755">
        <f ca="1">VLOOKUP(C755,Products!$A$2:$C$9,3,FALSE)</f>
        <v>80</v>
      </c>
      <c r="H755">
        <f t="shared" ca="1" si="47"/>
        <v>400</v>
      </c>
    </row>
    <row r="756" spans="1:8" x14ac:dyDescent="0.35">
      <c r="A756">
        <f t="shared" si="44"/>
        <v>1755</v>
      </c>
      <c r="B756" s="2">
        <f t="shared" ca="1" si="45"/>
        <v>45763</v>
      </c>
      <c r="C756" t="str" cm="1">
        <f t="array" aca="1" ref="C756" ca="1">INDEX(Products!$A$2:$A$9,RANDBETWEEN(1,8))</f>
        <v>Third Jersey</v>
      </c>
      <c r="D756" t="str">
        <f ca="1">_xlfn.XLOOKUP(C756,Products!A:A,Products!B:B)</f>
        <v>Jerseys</v>
      </c>
      <c r="E756" t="str" cm="1">
        <f t="array" aca="1" ref="E756" ca="1">INDEX(Regions!$A$2:$A$7,RANDBETWEEN(1,6))</f>
        <v>Waterford</v>
      </c>
      <c r="F756">
        <f t="shared" ca="1" si="46"/>
        <v>3</v>
      </c>
      <c r="G756">
        <f ca="1">VLOOKUP(C756,Products!$A$2:$C$9,3,FALSE)</f>
        <v>85</v>
      </c>
      <c r="H756">
        <f t="shared" ca="1" si="47"/>
        <v>255</v>
      </c>
    </row>
    <row r="757" spans="1:8" x14ac:dyDescent="0.35">
      <c r="A757">
        <f t="shared" si="44"/>
        <v>1756</v>
      </c>
      <c r="B757" s="2">
        <f t="shared" ca="1" si="45"/>
        <v>45976</v>
      </c>
      <c r="C757" t="str" cm="1">
        <f t="array" aca="1" ref="C757" ca="1">INDEX(Products!$A$2:$A$9,RANDBETWEEN(1,8))</f>
        <v>Home Jersey</v>
      </c>
      <c r="D757" t="str">
        <f ca="1">_xlfn.XLOOKUP(C757,Products!A:A,Products!B:B)</f>
        <v>Jerseys</v>
      </c>
      <c r="E757" t="str" cm="1">
        <f t="array" aca="1" ref="E757" ca="1">INDEX(Regions!$A$2:$A$7,RANDBETWEEN(1,6))</f>
        <v>Galway</v>
      </c>
      <c r="F757">
        <f t="shared" ca="1" si="46"/>
        <v>4</v>
      </c>
      <c r="G757">
        <f ca="1">VLOOKUP(C757,Products!$A$2:$C$9,3,FALSE)</f>
        <v>80</v>
      </c>
      <c r="H757">
        <f t="shared" ca="1" si="47"/>
        <v>320</v>
      </c>
    </row>
    <row r="758" spans="1:8" x14ac:dyDescent="0.35">
      <c r="A758">
        <f t="shared" si="44"/>
        <v>1757</v>
      </c>
      <c r="B758" s="2">
        <f t="shared" ca="1" si="45"/>
        <v>45973</v>
      </c>
      <c r="C758" t="str" cm="1">
        <f t="array" aca="1" ref="C758" ca="1">INDEX(Products!$A$2:$A$9,RANDBETWEEN(1,8))</f>
        <v>Away Jersey</v>
      </c>
      <c r="D758" t="str">
        <f ca="1">_xlfn.XLOOKUP(C758,Products!A:A,Products!B:B)</f>
        <v>Jerseys</v>
      </c>
      <c r="E758" t="str" cm="1">
        <f t="array" aca="1" ref="E758" ca="1">INDEX(Regions!$A$2:$A$7,RANDBETWEEN(1,6))</f>
        <v>Dublin</v>
      </c>
      <c r="F758">
        <f t="shared" ca="1" si="46"/>
        <v>1</v>
      </c>
      <c r="G758">
        <f ca="1">VLOOKUP(C758,Products!$A$2:$C$9,3,FALSE)</f>
        <v>80</v>
      </c>
      <c r="H758">
        <f t="shared" ca="1" si="47"/>
        <v>80</v>
      </c>
    </row>
    <row r="759" spans="1:8" x14ac:dyDescent="0.35">
      <c r="A759">
        <f t="shared" si="44"/>
        <v>1758</v>
      </c>
      <c r="B759" s="2">
        <f t="shared" ca="1" si="45"/>
        <v>45437</v>
      </c>
      <c r="C759" t="str" cm="1">
        <f t="array" aca="1" ref="C759" ca="1">INDEX(Products!$A$2:$A$9,RANDBETWEEN(1,8))</f>
        <v>Training Top</v>
      </c>
      <c r="D759" t="str">
        <f ca="1">_xlfn.XLOOKUP(C759,Products!A:A,Products!B:B)</f>
        <v>Training Wear</v>
      </c>
      <c r="E759" t="str" cm="1">
        <f t="array" aca="1" ref="E759" ca="1">INDEX(Regions!$A$2:$A$7,RANDBETWEEN(1,6))</f>
        <v>Cork</v>
      </c>
      <c r="F759">
        <f t="shared" ca="1" si="46"/>
        <v>2</v>
      </c>
      <c r="G759">
        <f ca="1">VLOOKUP(C759,Products!$A$2:$C$9,3,FALSE)</f>
        <v>55</v>
      </c>
      <c r="H759">
        <f t="shared" ca="1" si="47"/>
        <v>110</v>
      </c>
    </row>
    <row r="760" spans="1:8" x14ac:dyDescent="0.35">
      <c r="A760">
        <f t="shared" si="44"/>
        <v>1759</v>
      </c>
      <c r="B760" s="2">
        <f t="shared" ca="1" si="45"/>
        <v>45853</v>
      </c>
      <c r="C760" t="str" cm="1">
        <f t="array" aca="1" ref="C760" ca="1">INDEX(Products!$A$2:$A$9,RANDBETWEEN(1,8))</f>
        <v>Hat</v>
      </c>
      <c r="D760" t="str">
        <f ca="1">_xlfn.XLOOKUP(C760,Products!A:A,Products!B:B)</f>
        <v>Accessories</v>
      </c>
      <c r="E760" t="str" cm="1">
        <f t="array" aca="1" ref="E760" ca="1">INDEX(Regions!$A$2:$A$7,RANDBETWEEN(1,6))</f>
        <v>Dublin</v>
      </c>
      <c r="F760">
        <f t="shared" ca="1" si="46"/>
        <v>4</v>
      </c>
      <c r="G760">
        <f ca="1">VLOOKUP(C760,Products!$A$2:$C$9,3,FALSE)</f>
        <v>25</v>
      </c>
      <c r="H760">
        <f t="shared" ca="1" si="47"/>
        <v>100</v>
      </c>
    </row>
    <row r="761" spans="1:8" x14ac:dyDescent="0.35">
      <c r="A761">
        <f t="shared" si="44"/>
        <v>1760</v>
      </c>
      <c r="B761" s="2">
        <f t="shared" ca="1" si="45"/>
        <v>46007</v>
      </c>
      <c r="C761" t="str" cm="1">
        <f t="array" aca="1" ref="C761" ca="1">INDEX(Products!$A$2:$A$9,RANDBETWEEN(1,8))</f>
        <v>Third Jersey</v>
      </c>
      <c r="D761" t="str">
        <f ca="1">_xlfn.XLOOKUP(C761,Products!A:A,Products!B:B)</f>
        <v>Jerseys</v>
      </c>
      <c r="E761" t="str" cm="1">
        <f t="array" aca="1" ref="E761" ca="1">INDEX(Regions!$A$2:$A$7,RANDBETWEEN(1,6))</f>
        <v>Limerick</v>
      </c>
      <c r="F761">
        <f t="shared" ca="1" si="46"/>
        <v>5</v>
      </c>
      <c r="G761">
        <f ca="1">VLOOKUP(C761,Products!$A$2:$C$9,3,FALSE)</f>
        <v>85</v>
      </c>
      <c r="H761">
        <f t="shared" ca="1" si="47"/>
        <v>425</v>
      </c>
    </row>
    <row r="762" spans="1:8" x14ac:dyDescent="0.35">
      <c r="A762">
        <f t="shared" si="44"/>
        <v>1761</v>
      </c>
      <c r="B762" s="2">
        <f t="shared" ca="1" si="45"/>
        <v>45788</v>
      </c>
      <c r="C762" t="str" cm="1">
        <f t="array" aca="1" ref="C762" ca="1">INDEX(Products!$A$2:$A$9,RANDBETWEEN(1,8))</f>
        <v>Scarf</v>
      </c>
      <c r="D762" t="str">
        <f ca="1">_xlfn.XLOOKUP(C762,Products!A:A,Products!B:B)</f>
        <v>Accessories</v>
      </c>
      <c r="E762" t="str" cm="1">
        <f t="array" aca="1" ref="E762" ca="1">INDEX(Regions!$A$2:$A$7,RANDBETWEEN(1,6))</f>
        <v>Galway</v>
      </c>
      <c r="F762">
        <f t="shared" ca="1" si="46"/>
        <v>2</v>
      </c>
      <c r="G762">
        <f ca="1">VLOOKUP(C762,Products!$A$2:$C$9,3,FALSE)</f>
        <v>20</v>
      </c>
      <c r="H762">
        <f t="shared" ca="1" si="47"/>
        <v>40</v>
      </c>
    </row>
    <row r="763" spans="1:8" x14ac:dyDescent="0.35">
      <c r="A763">
        <f t="shared" si="44"/>
        <v>1762</v>
      </c>
      <c r="B763" s="2">
        <f t="shared" ca="1" si="45"/>
        <v>45609</v>
      </c>
      <c r="C763" t="str" cm="1">
        <f t="array" aca="1" ref="C763" ca="1">INDEX(Products!$A$2:$A$9,RANDBETWEEN(1,8))</f>
        <v>Away Jersey</v>
      </c>
      <c r="D763" t="str">
        <f ca="1">_xlfn.XLOOKUP(C763,Products!A:A,Products!B:B)</f>
        <v>Jerseys</v>
      </c>
      <c r="E763" t="str" cm="1">
        <f t="array" aca="1" ref="E763" ca="1">INDEX(Regions!$A$2:$A$7,RANDBETWEEN(1,6))</f>
        <v>Belfast</v>
      </c>
      <c r="F763">
        <f t="shared" ca="1" si="46"/>
        <v>3</v>
      </c>
      <c r="G763">
        <f ca="1">VLOOKUP(C763,Products!$A$2:$C$9,3,FALSE)</f>
        <v>80</v>
      </c>
      <c r="H763">
        <f t="shared" ca="1" si="47"/>
        <v>240</v>
      </c>
    </row>
    <row r="764" spans="1:8" x14ac:dyDescent="0.35">
      <c r="A764">
        <f t="shared" si="44"/>
        <v>1763</v>
      </c>
      <c r="B764" s="2">
        <f t="shared" ca="1" si="45"/>
        <v>45534</v>
      </c>
      <c r="C764" t="str" cm="1">
        <f t="array" aca="1" ref="C764" ca="1">INDEX(Products!$A$2:$A$9,RANDBETWEEN(1,8))</f>
        <v>Third Jersey</v>
      </c>
      <c r="D764" t="str">
        <f ca="1">_xlfn.XLOOKUP(C764,Products!A:A,Products!B:B)</f>
        <v>Jerseys</v>
      </c>
      <c r="E764" t="str" cm="1">
        <f t="array" aca="1" ref="E764" ca="1">INDEX(Regions!$A$2:$A$7,RANDBETWEEN(1,6))</f>
        <v>Cork</v>
      </c>
      <c r="F764">
        <f t="shared" ca="1" si="46"/>
        <v>5</v>
      </c>
      <c r="G764">
        <f ca="1">VLOOKUP(C764,Products!$A$2:$C$9,3,FALSE)</f>
        <v>85</v>
      </c>
      <c r="H764">
        <f t="shared" ca="1" si="47"/>
        <v>425</v>
      </c>
    </row>
    <row r="765" spans="1:8" x14ac:dyDescent="0.35">
      <c r="A765">
        <f t="shared" si="44"/>
        <v>1764</v>
      </c>
      <c r="B765" s="2">
        <f t="shared" ca="1" si="45"/>
        <v>45320</v>
      </c>
      <c r="C765" t="str" cm="1">
        <f t="array" aca="1" ref="C765" ca="1">INDEX(Products!$A$2:$A$9,RANDBETWEEN(1,8))</f>
        <v>Hat</v>
      </c>
      <c r="D765" t="str">
        <f ca="1">_xlfn.XLOOKUP(C765,Products!A:A,Products!B:B)</f>
        <v>Accessories</v>
      </c>
      <c r="E765" t="str" cm="1">
        <f t="array" aca="1" ref="E765" ca="1">INDEX(Regions!$A$2:$A$7,RANDBETWEEN(1,6))</f>
        <v>Galway</v>
      </c>
      <c r="F765">
        <f t="shared" ca="1" si="46"/>
        <v>2</v>
      </c>
      <c r="G765">
        <f ca="1">VLOOKUP(C765,Products!$A$2:$C$9,3,FALSE)</f>
        <v>25</v>
      </c>
      <c r="H765">
        <f t="shared" ca="1" si="47"/>
        <v>50</v>
      </c>
    </row>
    <row r="766" spans="1:8" x14ac:dyDescent="0.35">
      <c r="A766">
        <f t="shared" si="44"/>
        <v>1765</v>
      </c>
      <c r="B766" s="2">
        <f t="shared" ca="1" si="45"/>
        <v>45597</v>
      </c>
      <c r="C766" t="str" cm="1">
        <f t="array" aca="1" ref="C766" ca="1">INDEX(Products!$A$2:$A$9,RANDBETWEEN(1,8))</f>
        <v>Training Top</v>
      </c>
      <c r="D766" t="str">
        <f ca="1">_xlfn.XLOOKUP(C766,Products!A:A,Products!B:B)</f>
        <v>Training Wear</v>
      </c>
      <c r="E766" t="str" cm="1">
        <f t="array" aca="1" ref="E766" ca="1">INDEX(Regions!$A$2:$A$7,RANDBETWEEN(1,6))</f>
        <v>Dublin</v>
      </c>
      <c r="F766">
        <f t="shared" ca="1" si="46"/>
        <v>2</v>
      </c>
      <c r="G766">
        <f ca="1">VLOOKUP(C766,Products!$A$2:$C$9,3,FALSE)</f>
        <v>55</v>
      </c>
      <c r="H766">
        <f t="shared" ca="1" si="47"/>
        <v>110</v>
      </c>
    </row>
    <row r="767" spans="1:8" x14ac:dyDescent="0.35">
      <c r="A767">
        <f t="shared" si="44"/>
        <v>1766</v>
      </c>
      <c r="B767" s="2">
        <f t="shared" ca="1" si="45"/>
        <v>45521</v>
      </c>
      <c r="C767" t="str" cm="1">
        <f t="array" aca="1" ref="C767" ca="1">INDEX(Products!$A$2:$A$9,RANDBETWEEN(1,8))</f>
        <v>Scarf</v>
      </c>
      <c r="D767" t="str">
        <f ca="1">_xlfn.XLOOKUP(C767,Products!A:A,Products!B:B)</f>
        <v>Accessories</v>
      </c>
      <c r="E767" t="str" cm="1">
        <f t="array" aca="1" ref="E767" ca="1">INDEX(Regions!$A$2:$A$7,RANDBETWEEN(1,6))</f>
        <v>Dublin</v>
      </c>
      <c r="F767">
        <f t="shared" ca="1" si="46"/>
        <v>2</v>
      </c>
      <c r="G767">
        <f ca="1">VLOOKUP(C767,Products!$A$2:$C$9,3,FALSE)</f>
        <v>20</v>
      </c>
      <c r="H767">
        <f t="shared" ca="1" si="47"/>
        <v>40</v>
      </c>
    </row>
    <row r="768" spans="1:8" x14ac:dyDescent="0.35">
      <c r="A768">
        <f t="shared" si="44"/>
        <v>1767</v>
      </c>
      <c r="B768" s="2">
        <f t="shared" ca="1" si="45"/>
        <v>45528</v>
      </c>
      <c r="C768" t="str" cm="1">
        <f t="array" aca="1" ref="C768" ca="1">INDEX(Products!$A$2:$A$9,RANDBETWEEN(1,8))</f>
        <v>Jacket</v>
      </c>
      <c r="D768" t="str">
        <f ca="1">_xlfn.XLOOKUP(C768,Products!A:A,Products!B:B)</f>
        <v>Training Wear</v>
      </c>
      <c r="E768" t="str" cm="1">
        <f t="array" aca="1" ref="E768" ca="1">INDEX(Regions!$A$2:$A$7,RANDBETWEEN(1,6))</f>
        <v>Waterford</v>
      </c>
      <c r="F768">
        <f t="shared" ca="1" si="46"/>
        <v>1</v>
      </c>
      <c r="G768">
        <f ca="1">VLOOKUP(C768,Products!$A$2:$C$9,3,FALSE)</f>
        <v>90</v>
      </c>
      <c r="H768">
        <f t="shared" ca="1" si="47"/>
        <v>90</v>
      </c>
    </row>
    <row r="769" spans="1:8" x14ac:dyDescent="0.35">
      <c r="A769">
        <f t="shared" si="44"/>
        <v>1768</v>
      </c>
      <c r="B769" s="2">
        <f t="shared" ca="1" si="45"/>
        <v>45919</v>
      </c>
      <c r="C769" t="str" cm="1">
        <f t="array" aca="1" ref="C769" ca="1">INDEX(Products!$A$2:$A$9,RANDBETWEEN(1,8))</f>
        <v>Hat</v>
      </c>
      <c r="D769" t="str">
        <f ca="1">_xlfn.XLOOKUP(C769,Products!A:A,Products!B:B)</f>
        <v>Accessories</v>
      </c>
      <c r="E769" t="str" cm="1">
        <f t="array" aca="1" ref="E769" ca="1">INDEX(Regions!$A$2:$A$7,RANDBETWEEN(1,6))</f>
        <v>Belfast</v>
      </c>
      <c r="F769">
        <f t="shared" ca="1" si="46"/>
        <v>1</v>
      </c>
      <c r="G769">
        <f ca="1">VLOOKUP(C769,Products!$A$2:$C$9,3,FALSE)</f>
        <v>25</v>
      </c>
      <c r="H769">
        <f t="shared" ca="1" si="47"/>
        <v>25</v>
      </c>
    </row>
    <row r="770" spans="1:8" x14ac:dyDescent="0.35">
      <c r="A770">
        <f t="shared" si="44"/>
        <v>1769</v>
      </c>
      <c r="B770" s="2">
        <f t="shared" ca="1" si="45"/>
        <v>45924</v>
      </c>
      <c r="C770" t="str" cm="1">
        <f t="array" aca="1" ref="C770" ca="1">INDEX(Products!$A$2:$A$9,RANDBETWEEN(1,8))</f>
        <v>Jacket</v>
      </c>
      <c r="D770" t="str">
        <f ca="1">_xlfn.XLOOKUP(C770,Products!A:A,Products!B:B)</f>
        <v>Training Wear</v>
      </c>
      <c r="E770" t="str" cm="1">
        <f t="array" aca="1" ref="E770" ca="1">INDEX(Regions!$A$2:$A$7,RANDBETWEEN(1,6))</f>
        <v>Limerick</v>
      </c>
      <c r="F770">
        <f t="shared" ca="1" si="46"/>
        <v>1</v>
      </c>
      <c r="G770">
        <f ca="1">VLOOKUP(C770,Products!$A$2:$C$9,3,FALSE)</f>
        <v>90</v>
      </c>
      <c r="H770">
        <f t="shared" ca="1" si="47"/>
        <v>90</v>
      </c>
    </row>
    <row r="771" spans="1:8" x14ac:dyDescent="0.35">
      <c r="A771">
        <f t="shared" ref="A771:A834" si="48">ROW()+999</f>
        <v>1770</v>
      </c>
      <c r="B771" s="2">
        <f t="shared" ref="B771:B834" ca="1" si="49">DATE(2024,1,1)+RANDBETWEEN(0,730)</f>
        <v>46007</v>
      </c>
      <c r="C771" t="str" cm="1">
        <f t="array" aca="1" ref="C771" ca="1">INDEX(Products!$A$2:$A$9,RANDBETWEEN(1,8))</f>
        <v>Football</v>
      </c>
      <c r="D771" t="str">
        <f ca="1">_xlfn.XLOOKUP(C771,Products!A:A,Products!B:B)</f>
        <v>Equipment</v>
      </c>
      <c r="E771" t="str" cm="1">
        <f t="array" aca="1" ref="E771" ca="1">INDEX(Regions!$A$2:$A$7,RANDBETWEEN(1,6))</f>
        <v>Limerick</v>
      </c>
      <c r="F771">
        <f t="shared" ref="F771:F834" ca="1" si="50">RANDBETWEEN(1,5)</f>
        <v>3</v>
      </c>
      <c r="G771">
        <f ca="1">VLOOKUP(C771,Products!$A$2:$C$9,3,FALSE)</f>
        <v>30</v>
      </c>
      <c r="H771">
        <f t="shared" ref="H771:H834" ca="1" si="51">F771*G771</f>
        <v>90</v>
      </c>
    </row>
    <row r="772" spans="1:8" x14ac:dyDescent="0.35">
      <c r="A772">
        <f t="shared" si="48"/>
        <v>1771</v>
      </c>
      <c r="B772" s="2">
        <f t="shared" ca="1" si="49"/>
        <v>46014</v>
      </c>
      <c r="C772" t="str" cm="1">
        <f t="array" aca="1" ref="C772" ca="1">INDEX(Products!$A$2:$A$9,RANDBETWEEN(1,8))</f>
        <v>Training Top</v>
      </c>
      <c r="D772" t="str">
        <f ca="1">_xlfn.XLOOKUP(C772,Products!A:A,Products!B:B)</f>
        <v>Training Wear</v>
      </c>
      <c r="E772" t="str" cm="1">
        <f t="array" aca="1" ref="E772" ca="1">INDEX(Regions!$A$2:$A$7,RANDBETWEEN(1,6))</f>
        <v>Limerick</v>
      </c>
      <c r="F772">
        <f t="shared" ca="1" si="50"/>
        <v>4</v>
      </c>
      <c r="G772">
        <f ca="1">VLOOKUP(C772,Products!$A$2:$C$9,3,FALSE)</f>
        <v>55</v>
      </c>
      <c r="H772">
        <f t="shared" ca="1" si="51"/>
        <v>220</v>
      </c>
    </row>
    <row r="773" spans="1:8" x14ac:dyDescent="0.35">
      <c r="A773">
        <f t="shared" si="48"/>
        <v>1772</v>
      </c>
      <c r="B773" s="2">
        <f t="shared" ca="1" si="49"/>
        <v>45534</v>
      </c>
      <c r="C773" t="str" cm="1">
        <f t="array" aca="1" ref="C773" ca="1">INDEX(Products!$A$2:$A$9,RANDBETWEEN(1,8))</f>
        <v>Scarf</v>
      </c>
      <c r="D773" t="str">
        <f ca="1">_xlfn.XLOOKUP(C773,Products!A:A,Products!B:B)</f>
        <v>Accessories</v>
      </c>
      <c r="E773" t="str" cm="1">
        <f t="array" aca="1" ref="E773" ca="1">INDEX(Regions!$A$2:$A$7,RANDBETWEEN(1,6))</f>
        <v>Dublin</v>
      </c>
      <c r="F773">
        <f t="shared" ca="1" si="50"/>
        <v>1</v>
      </c>
      <c r="G773">
        <f ca="1">VLOOKUP(C773,Products!$A$2:$C$9,3,FALSE)</f>
        <v>20</v>
      </c>
      <c r="H773">
        <f t="shared" ca="1" si="51"/>
        <v>20</v>
      </c>
    </row>
    <row r="774" spans="1:8" x14ac:dyDescent="0.35">
      <c r="A774">
        <f t="shared" si="48"/>
        <v>1773</v>
      </c>
      <c r="B774" s="2">
        <f t="shared" ca="1" si="49"/>
        <v>45517</v>
      </c>
      <c r="C774" t="str" cm="1">
        <f t="array" aca="1" ref="C774" ca="1">INDEX(Products!$A$2:$A$9,RANDBETWEEN(1,8))</f>
        <v>Jacket</v>
      </c>
      <c r="D774" t="str">
        <f ca="1">_xlfn.XLOOKUP(C774,Products!A:A,Products!B:B)</f>
        <v>Training Wear</v>
      </c>
      <c r="E774" t="str" cm="1">
        <f t="array" aca="1" ref="E774" ca="1">INDEX(Regions!$A$2:$A$7,RANDBETWEEN(1,6))</f>
        <v>Belfast</v>
      </c>
      <c r="F774">
        <f t="shared" ca="1" si="50"/>
        <v>1</v>
      </c>
      <c r="G774">
        <f ca="1">VLOOKUP(C774,Products!$A$2:$C$9,3,FALSE)</f>
        <v>90</v>
      </c>
      <c r="H774">
        <f t="shared" ca="1" si="51"/>
        <v>90</v>
      </c>
    </row>
    <row r="775" spans="1:8" x14ac:dyDescent="0.35">
      <c r="A775">
        <f t="shared" si="48"/>
        <v>1774</v>
      </c>
      <c r="B775" s="2">
        <f t="shared" ca="1" si="49"/>
        <v>45693</v>
      </c>
      <c r="C775" t="str" cm="1">
        <f t="array" aca="1" ref="C775" ca="1">INDEX(Products!$A$2:$A$9,RANDBETWEEN(1,8))</f>
        <v>Away Jersey</v>
      </c>
      <c r="D775" t="str">
        <f ca="1">_xlfn.XLOOKUP(C775,Products!A:A,Products!B:B)</f>
        <v>Jerseys</v>
      </c>
      <c r="E775" t="str" cm="1">
        <f t="array" aca="1" ref="E775" ca="1">INDEX(Regions!$A$2:$A$7,RANDBETWEEN(1,6))</f>
        <v>Galway</v>
      </c>
      <c r="F775">
        <f t="shared" ca="1" si="50"/>
        <v>5</v>
      </c>
      <c r="G775">
        <f ca="1">VLOOKUP(C775,Products!$A$2:$C$9,3,FALSE)</f>
        <v>80</v>
      </c>
      <c r="H775">
        <f t="shared" ca="1" si="51"/>
        <v>400</v>
      </c>
    </row>
    <row r="776" spans="1:8" x14ac:dyDescent="0.35">
      <c r="A776">
        <f t="shared" si="48"/>
        <v>1775</v>
      </c>
      <c r="B776" s="2">
        <f t="shared" ca="1" si="49"/>
        <v>45377</v>
      </c>
      <c r="C776" t="str" cm="1">
        <f t="array" aca="1" ref="C776" ca="1">INDEX(Products!$A$2:$A$9,RANDBETWEEN(1,8))</f>
        <v>Away Jersey</v>
      </c>
      <c r="D776" t="str">
        <f ca="1">_xlfn.XLOOKUP(C776,Products!A:A,Products!B:B)</f>
        <v>Jerseys</v>
      </c>
      <c r="E776" t="str" cm="1">
        <f t="array" aca="1" ref="E776" ca="1">INDEX(Regions!$A$2:$A$7,RANDBETWEEN(1,6))</f>
        <v>Galway</v>
      </c>
      <c r="F776">
        <f t="shared" ca="1" si="50"/>
        <v>1</v>
      </c>
      <c r="G776">
        <f ca="1">VLOOKUP(C776,Products!$A$2:$C$9,3,FALSE)</f>
        <v>80</v>
      </c>
      <c r="H776">
        <f t="shared" ca="1" si="51"/>
        <v>80</v>
      </c>
    </row>
    <row r="777" spans="1:8" x14ac:dyDescent="0.35">
      <c r="A777">
        <f t="shared" si="48"/>
        <v>1776</v>
      </c>
      <c r="B777" s="2">
        <f t="shared" ca="1" si="49"/>
        <v>45344</v>
      </c>
      <c r="C777" t="str" cm="1">
        <f t="array" aca="1" ref="C777" ca="1">INDEX(Products!$A$2:$A$9,RANDBETWEEN(1,8))</f>
        <v>Away Jersey</v>
      </c>
      <c r="D777" t="str">
        <f ca="1">_xlfn.XLOOKUP(C777,Products!A:A,Products!B:B)</f>
        <v>Jerseys</v>
      </c>
      <c r="E777" t="str" cm="1">
        <f t="array" aca="1" ref="E777" ca="1">INDEX(Regions!$A$2:$A$7,RANDBETWEEN(1,6))</f>
        <v>Belfast</v>
      </c>
      <c r="F777">
        <f t="shared" ca="1" si="50"/>
        <v>3</v>
      </c>
      <c r="G777">
        <f ca="1">VLOOKUP(C777,Products!$A$2:$C$9,3,FALSE)</f>
        <v>80</v>
      </c>
      <c r="H777">
        <f t="shared" ca="1" si="51"/>
        <v>240</v>
      </c>
    </row>
    <row r="778" spans="1:8" x14ac:dyDescent="0.35">
      <c r="A778">
        <f t="shared" si="48"/>
        <v>1777</v>
      </c>
      <c r="B778" s="2">
        <f t="shared" ca="1" si="49"/>
        <v>45458</v>
      </c>
      <c r="C778" t="str" cm="1">
        <f t="array" aca="1" ref="C778" ca="1">INDEX(Products!$A$2:$A$9,RANDBETWEEN(1,8))</f>
        <v>Jacket</v>
      </c>
      <c r="D778" t="str">
        <f ca="1">_xlfn.XLOOKUP(C778,Products!A:A,Products!B:B)</f>
        <v>Training Wear</v>
      </c>
      <c r="E778" t="str" cm="1">
        <f t="array" aca="1" ref="E778" ca="1">INDEX(Regions!$A$2:$A$7,RANDBETWEEN(1,6))</f>
        <v>Cork</v>
      </c>
      <c r="F778">
        <f t="shared" ca="1" si="50"/>
        <v>5</v>
      </c>
      <c r="G778">
        <f ca="1">VLOOKUP(C778,Products!$A$2:$C$9,3,FALSE)</f>
        <v>90</v>
      </c>
      <c r="H778">
        <f t="shared" ca="1" si="51"/>
        <v>450</v>
      </c>
    </row>
    <row r="779" spans="1:8" x14ac:dyDescent="0.35">
      <c r="A779">
        <f t="shared" si="48"/>
        <v>1778</v>
      </c>
      <c r="B779" s="2">
        <f t="shared" ca="1" si="49"/>
        <v>45643</v>
      </c>
      <c r="C779" t="str" cm="1">
        <f t="array" aca="1" ref="C779" ca="1">INDEX(Products!$A$2:$A$9,RANDBETWEEN(1,8))</f>
        <v>Away Jersey</v>
      </c>
      <c r="D779" t="str">
        <f ca="1">_xlfn.XLOOKUP(C779,Products!A:A,Products!B:B)</f>
        <v>Jerseys</v>
      </c>
      <c r="E779" t="str" cm="1">
        <f t="array" aca="1" ref="E779" ca="1">INDEX(Regions!$A$2:$A$7,RANDBETWEEN(1,6))</f>
        <v>Dublin</v>
      </c>
      <c r="F779">
        <f t="shared" ca="1" si="50"/>
        <v>1</v>
      </c>
      <c r="G779">
        <f ca="1">VLOOKUP(C779,Products!$A$2:$C$9,3,FALSE)</f>
        <v>80</v>
      </c>
      <c r="H779">
        <f t="shared" ca="1" si="51"/>
        <v>80</v>
      </c>
    </row>
    <row r="780" spans="1:8" x14ac:dyDescent="0.35">
      <c r="A780">
        <f t="shared" si="48"/>
        <v>1779</v>
      </c>
      <c r="B780" s="2">
        <f t="shared" ca="1" si="49"/>
        <v>46003</v>
      </c>
      <c r="C780" t="str" cm="1">
        <f t="array" aca="1" ref="C780" ca="1">INDEX(Products!$A$2:$A$9,RANDBETWEEN(1,8))</f>
        <v>Scarf</v>
      </c>
      <c r="D780" t="str">
        <f ca="1">_xlfn.XLOOKUP(C780,Products!A:A,Products!B:B)</f>
        <v>Accessories</v>
      </c>
      <c r="E780" t="str" cm="1">
        <f t="array" aca="1" ref="E780" ca="1">INDEX(Regions!$A$2:$A$7,RANDBETWEEN(1,6))</f>
        <v>Belfast</v>
      </c>
      <c r="F780">
        <f t="shared" ca="1" si="50"/>
        <v>5</v>
      </c>
      <c r="G780">
        <f ca="1">VLOOKUP(C780,Products!$A$2:$C$9,3,FALSE)</f>
        <v>20</v>
      </c>
      <c r="H780">
        <f t="shared" ca="1" si="51"/>
        <v>100</v>
      </c>
    </row>
    <row r="781" spans="1:8" x14ac:dyDescent="0.35">
      <c r="A781">
        <f t="shared" si="48"/>
        <v>1780</v>
      </c>
      <c r="B781" s="2">
        <f t="shared" ca="1" si="49"/>
        <v>45923</v>
      </c>
      <c r="C781" t="str" cm="1">
        <f t="array" aca="1" ref="C781" ca="1">INDEX(Products!$A$2:$A$9,RANDBETWEEN(1,8))</f>
        <v>Hat</v>
      </c>
      <c r="D781" t="str">
        <f ca="1">_xlfn.XLOOKUP(C781,Products!A:A,Products!B:B)</f>
        <v>Accessories</v>
      </c>
      <c r="E781" t="str" cm="1">
        <f t="array" aca="1" ref="E781" ca="1">INDEX(Regions!$A$2:$A$7,RANDBETWEEN(1,6))</f>
        <v>Belfast</v>
      </c>
      <c r="F781">
        <f t="shared" ca="1" si="50"/>
        <v>4</v>
      </c>
      <c r="G781">
        <f ca="1">VLOOKUP(C781,Products!$A$2:$C$9,3,FALSE)</f>
        <v>25</v>
      </c>
      <c r="H781">
        <f t="shared" ca="1" si="51"/>
        <v>100</v>
      </c>
    </row>
    <row r="782" spans="1:8" x14ac:dyDescent="0.35">
      <c r="A782">
        <f t="shared" si="48"/>
        <v>1781</v>
      </c>
      <c r="B782" s="2">
        <f t="shared" ca="1" si="49"/>
        <v>45395</v>
      </c>
      <c r="C782" t="str" cm="1">
        <f t="array" aca="1" ref="C782" ca="1">INDEX(Products!$A$2:$A$9,RANDBETWEEN(1,8))</f>
        <v>Home Jersey</v>
      </c>
      <c r="D782" t="str">
        <f ca="1">_xlfn.XLOOKUP(C782,Products!A:A,Products!B:B)</f>
        <v>Jerseys</v>
      </c>
      <c r="E782" t="str" cm="1">
        <f t="array" aca="1" ref="E782" ca="1">INDEX(Regions!$A$2:$A$7,RANDBETWEEN(1,6))</f>
        <v>Dublin</v>
      </c>
      <c r="F782">
        <f t="shared" ca="1" si="50"/>
        <v>5</v>
      </c>
      <c r="G782">
        <f ca="1">VLOOKUP(C782,Products!$A$2:$C$9,3,FALSE)</f>
        <v>80</v>
      </c>
      <c r="H782">
        <f t="shared" ca="1" si="51"/>
        <v>400</v>
      </c>
    </row>
    <row r="783" spans="1:8" x14ac:dyDescent="0.35">
      <c r="A783">
        <f t="shared" si="48"/>
        <v>1782</v>
      </c>
      <c r="B783" s="2">
        <f t="shared" ca="1" si="49"/>
        <v>45534</v>
      </c>
      <c r="C783" t="str" cm="1">
        <f t="array" aca="1" ref="C783" ca="1">INDEX(Products!$A$2:$A$9,RANDBETWEEN(1,8))</f>
        <v>Home Jersey</v>
      </c>
      <c r="D783" t="str">
        <f ca="1">_xlfn.XLOOKUP(C783,Products!A:A,Products!B:B)</f>
        <v>Jerseys</v>
      </c>
      <c r="E783" t="str" cm="1">
        <f t="array" aca="1" ref="E783" ca="1">INDEX(Regions!$A$2:$A$7,RANDBETWEEN(1,6))</f>
        <v>Limerick</v>
      </c>
      <c r="F783">
        <f t="shared" ca="1" si="50"/>
        <v>2</v>
      </c>
      <c r="G783">
        <f ca="1">VLOOKUP(C783,Products!$A$2:$C$9,3,FALSE)</f>
        <v>80</v>
      </c>
      <c r="H783">
        <f t="shared" ca="1" si="51"/>
        <v>160</v>
      </c>
    </row>
    <row r="784" spans="1:8" x14ac:dyDescent="0.35">
      <c r="A784">
        <f t="shared" si="48"/>
        <v>1783</v>
      </c>
      <c r="B784" s="2">
        <f t="shared" ca="1" si="49"/>
        <v>45913</v>
      </c>
      <c r="C784" t="str" cm="1">
        <f t="array" aca="1" ref="C784" ca="1">INDEX(Products!$A$2:$A$9,RANDBETWEEN(1,8))</f>
        <v>Training Top</v>
      </c>
      <c r="D784" t="str">
        <f ca="1">_xlfn.XLOOKUP(C784,Products!A:A,Products!B:B)</f>
        <v>Training Wear</v>
      </c>
      <c r="E784" t="str" cm="1">
        <f t="array" aca="1" ref="E784" ca="1">INDEX(Regions!$A$2:$A$7,RANDBETWEEN(1,6))</f>
        <v>Belfast</v>
      </c>
      <c r="F784">
        <f t="shared" ca="1" si="50"/>
        <v>1</v>
      </c>
      <c r="G784">
        <f ca="1">VLOOKUP(C784,Products!$A$2:$C$9,3,FALSE)</f>
        <v>55</v>
      </c>
      <c r="H784">
        <f t="shared" ca="1" si="51"/>
        <v>55</v>
      </c>
    </row>
    <row r="785" spans="1:8" x14ac:dyDescent="0.35">
      <c r="A785">
        <f t="shared" si="48"/>
        <v>1784</v>
      </c>
      <c r="B785" s="2">
        <f t="shared" ca="1" si="49"/>
        <v>45902</v>
      </c>
      <c r="C785" t="str" cm="1">
        <f t="array" aca="1" ref="C785" ca="1">INDEX(Products!$A$2:$A$9,RANDBETWEEN(1,8))</f>
        <v>Home Jersey</v>
      </c>
      <c r="D785" t="str">
        <f ca="1">_xlfn.XLOOKUP(C785,Products!A:A,Products!B:B)</f>
        <v>Jerseys</v>
      </c>
      <c r="E785" t="str" cm="1">
        <f t="array" aca="1" ref="E785" ca="1">INDEX(Regions!$A$2:$A$7,RANDBETWEEN(1,6))</f>
        <v>Limerick</v>
      </c>
      <c r="F785">
        <f t="shared" ca="1" si="50"/>
        <v>2</v>
      </c>
      <c r="G785">
        <f ca="1">VLOOKUP(C785,Products!$A$2:$C$9,3,FALSE)</f>
        <v>80</v>
      </c>
      <c r="H785">
        <f t="shared" ca="1" si="51"/>
        <v>160</v>
      </c>
    </row>
    <row r="786" spans="1:8" x14ac:dyDescent="0.35">
      <c r="A786">
        <f t="shared" si="48"/>
        <v>1785</v>
      </c>
      <c r="B786" s="2">
        <f t="shared" ca="1" si="49"/>
        <v>45726</v>
      </c>
      <c r="C786" t="str" cm="1">
        <f t="array" aca="1" ref="C786" ca="1">INDEX(Products!$A$2:$A$9,RANDBETWEEN(1,8))</f>
        <v>Third Jersey</v>
      </c>
      <c r="D786" t="str">
        <f ca="1">_xlfn.XLOOKUP(C786,Products!A:A,Products!B:B)</f>
        <v>Jerseys</v>
      </c>
      <c r="E786" t="str" cm="1">
        <f t="array" aca="1" ref="E786" ca="1">INDEX(Regions!$A$2:$A$7,RANDBETWEEN(1,6))</f>
        <v>Cork</v>
      </c>
      <c r="F786">
        <f t="shared" ca="1" si="50"/>
        <v>1</v>
      </c>
      <c r="G786">
        <f ca="1">VLOOKUP(C786,Products!$A$2:$C$9,3,FALSE)</f>
        <v>85</v>
      </c>
      <c r="H786">
        <f t="shared" ca="1" si="51"/>
        <v>85</v>
      </c>
    </row>
    <row r="787" spans="1:8" x14ac:dyDescent="0.35">
      <c r="A787">
        <f t="shared" si="48"/>
        <v>1786</v>
      </c>
      <c r="B787" s="2">
        <f t="shared" ca="1" si="49"/>
        <v>45832</v>
      </c>
      <c r="C787" t="str" cm="1">
        <f t="array" aca="1" ref="C787" ca="1">INDEX(Products!$A$2:$A$9,RANDBETWEEN(1,8))</f>
        <v>Training Top</v>
      </c>
      <c r="D787" t="str">
        <f ca="1">_xlfn.XLOOKUP(C787,Products!A:A,Products!B:B)</f>
        <v>Training Wear</v>
      </c>
      <c r="E787" t="str" cm="1">
        <f t="array" aca="1" ref="E787" ca="1">INDEX(Regions!$A$2:$A$7,RANDBETWEEN(1,6))</f>
        <v>Limerick</v>
      </c>
      <c r="F787">
        <f t="shared" ca="1" si="50"/>
        <v>3</v>
      </c>
      <c r="G787">
        <f ca="1">VLOOKUP(C787,Products!$A$2:$C$9,3,FALSE)</f>
        <v>55</v>
      </c>
      <c r="H787">
        <f t="shared" ca="1" si="51"/>
        <v>165</v>
      </c>
    </row>
    <row r="788" spans="1:8" x14ac:dyDescent="0.35">
      <c r="A788">
        <f t="shared" si="48"/>
        <v>1787</v>
      </c>
      <c r="B788" s="2">
        <f t="shared" ca="1" si="49"/>
        <v>45302</v>
      </c>
      <c r="C788" t="str" cm="1">
        <f t="array" aca="1" ref="C788" ca="1">INDEX(Products!$A$2:$A$9,RANDBETWEEN(1,8))</f>
        <v>Jacket</v>
      </c>
      <c r="D788" t="str">
        <f ca="1">_xlfn.XLOOKUP(C788,Products!A:A,Products!B:B)</f>
        <v>Training Wear</v>
      </c>
      <c r="E788" t="str" cm="1">
        <f t="array" aca="1" ref="E788" ca="1">INDEX(Regions!$A$2:$A$7,RANDBETWEEN(1,6))</f>
        <v>Galway</v>
      </c>
      <c r="F788">
        <f t="shared" ca="1" si="50"/>
        <v>3</v>
      </c>
      <c r="G788">
        <f ca="1">VLOOKUP(C788,Products!$A$2:$C$9,3,FALSE)</f>
        <v>90</v>
      </c>
      <c r="H788">
        <f t="shared" ca="1" si="51"/>
        <v>270</v>
      </c>
    </row>
    <row r="789" spans="1:8" x14ac:dyDescent="0.35">
      <c r="A789">
        <f t="shared" si="48"/>
        <v>1788</v>
      </c>
      <c r="B789" s="2">
        <f t="shared" ca="1" si="49"/>
        <v>45662</v>
      </c>
      <c r="C789" t="str" cm="1">
        <f t="array" aca="1" ref="C789" ca="1">INDEX(Products!$A$2:$A$9,RANDBETWEEN(1,8))</f>
        <v>Hat</v>
      </c>
      <c r="D789" t="str">
        <f ca="1">_xlfn.XLOOKUP(C789,Products!A:A,Products!B:B)</f>
        <v>Accessories</v>
      </c>
      <c r="E789" t="str" cm="1">
        <f t="array" aca="1" ref="E789" ca="1">INDEX(Regions!$A$2:$A$7,RANDBETWEEN(1,6))</f>
        <v>Dublin</v>
      </c>
      <c r="F789">
        <f t="shared" ca="1" si="50"/>
        <v>1</v>
      </c>
      <c r="G789">
        <f ca="1">VLOOKUP(C789,Products!$A$2:$C$9,3,FALSE)</f>
        <v>25</v>
      </c>
      <c r="H789">
        <f t="shared" ca="1" si="51"/>
        <v>25</v>
      </c>
    </row>
    <row r="790" spans="1:8" x14ac:dyDescent="0.35">
      <c r="A790">
        <f t="shared" si="48"/>
        <v>1789</v>
      </c>
      <c r="B790" s="2">
        <f t="shared" ca="1" si="49"/>
        <v>45422</v>
      </c>
      <c r="C790" t="str" cm="1">
        <f t="array" aca="1" ref="C790" ca="1">INDEX(Products!$A$2:$A$9,RANDBETWEEN(1,8))</f>
        <v>Jacket</v>
      </c>
      <c r="D790" t="str">
        <f ca="1">_xlfn.XLOOKUP(C790,Products!A:A,Products!B:B)</f>
        <v>Training Wear</v>
      </c>
      <c r="E790" t="str" cm="1">
        <f t="array" aca="1" ref="E790" ca="1">INDEX(Regions!$A$2:$A$7,RANDBETWEEN(1,6))</f>
        <v>Galway</v>
      </c>
      <c r="F790">
        <f t="shared" ca="1" si="50"/>
        <v>5</v>
      </c>
      <c r="G790">
        <f ca="1">VLOOKUP(C790,Products!$A$2:$C$9,3,FALSE)</f>
        <v>90</v>
      </c>
      <c r="H790">
        <f t="shared" ca="1" si="51"/>
        <v>450</v>
      </c>
    </row>
    <row r="791" spans="1:8" x14ac:dyDescent="0.35">
      <c r="A791">
        <f t="shared" si="48"/>
        <v>1790</v>
      </c>
      <c r="B791" s="2">
        <f t="shared" ca="1" si="49"/>
        <v>45413</v>
      </c>
      <c r="C791" t="str" cm="1">
        <f t="array" aca="1" ref="C791" ca="1">INDEX(Products!$A$2:$A$9,RANDBETWEEN(1,8))</f>
        <v>Training Top</v>
      </c>
      <c r="D791" t="str">
        <f ca="1">_xlfn.XLOOKUP(C791,Products!A:A,Products!B:B)</f>
        <v>Training Wear</v>
      </c>
      <c r="E791" t="str" cm="1">
        <f t="array" aca="1" ref="E791" ca="1">INDEX(Regions!$A$2:$A$7,RANDBETWEEN(1,6))</f>
        <v>Waterford</v>
      </c>
      <c r="F791">
        <f t="shared" ca="1" si="50"/>
        <v>1</v>
      </c>
      <c r="G791">
        <f ca="1">VLOOKUP(C791,Products!$A$2:$C$9,3,FALSE)</f>
        <v>55</v>
      </c>
      <c r="H791">
        <f t="shared" ca="1" si="51"/>
        <v>55</v>
      </c>
    </row>
    <row r="792" spans="1:8" x14ac:dyDescent="0.35">
      <c r="A792">
        <f t="shared" si="48"/>
        <v>1791</v>
      </c>
      <c r="B792" s="2">
        <f t="shared" ca="1" si="49"/>
        <v>45996</v>
      </c>
      <c r="C792" t="str" cm="1">
        <f t="array" aca="1" ref="C792" ca="1">INDEX(Products!$A$2:$A$9,RANDBETWEEN(1,8))</f>
        <v>Third Jersey</v>
      </c>
      <c r="D792" t="str">
        <f ca="1">_xlfn.XLOOKUP(C792,Products!A:A,Products!B:B)</f>
        <v>Jerseys</v>
      </c>
      <c r="E792" t="str" cm="1">
        <f t="array" aca="1" ref="E792" ca="1">INDEX(Regions!$A$2:$A$7,RANDBETWEEN(1,6))</f>
        <v>Galway</v>
      </c>
      <c r="F792">
        <f t="shared" ca="1" si="50"/>
        <v>2</v>
      </c>
      <c r="G792">
        <f ca="1">VLOOKUP(C792,Products!$A$2:$C$9,3,FALSE)</f>
        <v>85</v>
      </c>
      <c r="H792">
        <f t="shared" ca="1" si="51"/>
        <v>170</v>
      </c>
    </row>
    <row r="793" spans="1:8" x14ac:dyDescent="0.35">
      <c r="A793">
        <f t="shared" si="48"/>
        <v>1792</v>
      </c>
      <c r="B793" s="2">
        <f t="shared" ca="1" si="49"/>
        <v>45635</v>
      </c>
      <c r="C793" t="str" cm="1">
        <f t="array" aca="1" ref="C793" ca="1">INDEX(Products!$A$2:$A$9,RANDBETWEEN(1,8))</f>
        <v>Home Jersey</v>
      </c>
      <c r="D793" t="str">
        <f ca="1">_xlfn.XLOOKUP(C793,Products!A:A,Products!B:B)</f>
        <v>Jerseys</v>
      </c>
      <c r="E793" t="str" cm="1">
        <f t="array" aca="1" ref="E793" ca="1">INDEX(Regions!$A$2:$A$7,RANDBETWEEN(1,6))</f>
        <v>Cork</v>
      </c>
      <c r="F793">
        <f t="shared" ca="1" si="50"/>
        <v>3</v>
      </c>
      <c r="G793">
        <f ca="1">VLOOKUP(C793,Products!$A$2:$C$9,3,FALSE)</f>
        <v>80</v>
      </c>
      <c r="H793">
        <f t="shared" ca="1" si="51"/>
        <v>240</v>
      </c>
    </row>
    <row r="794" spans="1:8" x14ac:dyDescent="0.35">
      <c r="A794">
        <f t="shared" si="48"/>
        <v>1793</v>
      </c>
      <c r="B794" s="2">
        <f t="shared" ca="1" si="49"/>
        <v>45415</v>
      </c>
      <c r="C794" t="str" cm="1">
        <f t="array" aca="1" ref="C794" ca="1">INDEX(Products!$A$2:$A$9,RANDBETWEEN(1,8))</f>
        <v>Jacket</v>
      </c>
      <c r="D794" t="str">
        <f ca="1">_xlfn.XLOOKUP(C794,Products!A:A,Products!B:B)</f>
        <v>Training Wear</v>
      </c>
      <c r="E794" t="str" cm="1">
        <f t="array" aca="1" ref="E794" ca="1">INDEX(Regions!$A$2:$A$7,RANDBETWEEN(1,6))</f>
        <v>Limerick</v>
      </c>
      <c r="F794">
        <f t="shared" ca="1" si="50"/>
        <v>5</v>
      </c>
      <c r="G794">
        <f ca="1">VLOOKUP(C794,Products!$A$2:$C$9,3,FALSE)</f>
        <v>90</v>
      </c>
      <c r="H794">
        <f t="shared" ca="1" si="51"/>
        <v>450</v>
      </c>
    </row>
    <row r="795" spans="1:8" x14ac:dyDescent="0.35">
      <c r="A795">
        <f t="shared" si="48"/>
        <v>1794</v>
      </c>
      <c r="B795" s="2">
        <f t="shared" ca="1" si="49"/>
        <v>45930</v>
      </c>
      <c r="C795" t="str" cm="1">
        <f t="array" aca="1" ref="C795" ca="1">INDEX(Products!$A$2:$A$9,RANDBETWEEN(1,8))</f>
        <v>Away Jersey</v>
      </c>
      <c r="D795" t="str">
        <f ca="1">_xlfn.XLOOKUP(C795,Products!A:A,Products!B:B)</f>
        <v>Jerseys</v>
      </c>
      <c r="E795" t="str" cm="1">
        <f t="array" aca="1" ref="E795" ca="1">INDEX(Regions!$A$2:$A$7,RANDBETWEEN(1,6))</f>
        <v>Dublin</v>
      </c>
      <c r="F795">
        <f t="shared" ca="1" si="50"/>
        <v>5</v>
      </c>
      <c r="G795">
        <f ca="1">VLOOKUP(C795,Products!$A$2:$C$9,3,FALSE)</f>
        <v>80</v>
      </c>
      <c r="H795">
        <f t="shared" ca="1" si="51"/>
        <v>400</v>
      </c>
    </row>
    <row r="796" spans="1:8" x14ac:dyDescent="0.35">
      <c r="A796">
        <f t="shared" si="48"/>
        <v>1795</v>
      </c>
      <c r="B796" s="2">
        <f t="shared" ca="1" si="49"/>
        <v>45617</v>
      </c>
      <c r="C796" t="str" cm="1">
        <f t="array" aca="1" ref="C796" ca="1">INDEX(Products!$A$2:$A$9,RANDBETWEEN(1,8))</f>
        <v>Jacket</v>
      </c>
      <c r="D796" t="str">
        <f ca="1">_xlfn.XLOOKUP(C796,Products!A:A,Products!B:B)</f>
        <v>Training Wear</v>
      </c>
      <c r="E796" t="str" cm="1">
        <f t="array" aca="1" ref="E796" ca="1">INDEX(Regions!$A$2:$A$7,RANDBETWEEN(1,6))</f>
        <v>Waterford</v>
      </c>
      <c r="F796">
        <f t="shared" ca="1" si="50"/>
        <v>2</v>
      </c>
      <c r="G796">
        <f ca="1">VLOOKUP(C796,Products!$A$2:$C$9,3,FALSE)</f>
        <v>90</v>
      </c>
      <c r="H796">
        <f t="shared" ca="1" si="51"/>
        <v>180</v>
      </c>
    </row>
    <row r="797" spans="1:8" x14ac:dyDescent="0.35">
      <c r="A797">
        <f t="shared" si="48"/>
        <v>1796</v>
      </c>
      <c r="B797" s="2">
        <f t="shared" ca="1" si="49"/>
        <v>45606</v>
      </c>
      <c r="C797" t="str" cm="1">
        <f t="array" aca="1" ref="C797" ca="1">INDEX(Products!$A$2:$A$9,RANDBETWEEN(1,8))</f>
        <v>Home Jersey</v>
      </c>
      <c r="D797" t="str">
        <f ca="1">_xlfn.XLOOKUP(C797,Products!A:A,Products!B:B)</f>
        <v>Jerseys</v>
      </c>
      <c r="E797" t="str" cm="1">
        <f t="array" aca="1" ref="E797" ca="1">INDEX(Regions!$A$2:$A$7,RANDBETWEEN(1,6))</f>
        <v>Galway</v>
      </c>
      <c r="F797">
        <f t="shared" ca="1" si="50"/>
        <v>2</v>
      </c>
      <c r="G797">
        <f ca="1">VLOOKUP(C797,Products!$A$2:$C$9,3,FALSE)</f>
        <v>80</v>
      </c>
      <c r="H797">
        <f t="shared" ca="1" si="51"/>
        <v>160</v>
      </c>
    </row>
    <row r="798" spans="1:8" x14ac:dyDescent="0.35">
      <c r="A798">
        <f t="shared" si="48"/>
        <v>1797</v>
      </c>
      <c r="B798" s="2">
        <f t="shared" ca="1" si="49"/>
        <v>45850</v>
      </c>
      <c r="C798" t="str" cm="1">
        <f t="array" aca="1" ref="C798" ca="1">INDEX(Products!$A$2:$A$9,RANDBETWEEN(1,8))</f>
        <v>Training Top</v>
      </c>
      <c r="D798" t="str">
        <f ca="1">_xlfn.XLOOKUP(C798,Products!A:A,Products!B:B)</f>
        <v>Training Wear</v>
      </c>
      <c r="E798" t="str" cm="1">
        <f t="array" aca="1" ref="E798" ca="1">INDEX(Regions!$A$2:$A$7,RANDBETWEEN(1,6))</f>
        <v>Galway</v>
      </c>
      <c r="F798">
        <f t="shared" ca="1" si="50"/>
        <v>4</v>
      </c>
      <c r="G798">
        <f ca="1">VLOOKUP(C798,Products!$A$2:$C$9,3,FALSE)</f>
        <v>55</v>
      </c>
      <c r="H798">
        <f t="shared" ca="1" si="51"/>
        <v>220</v>
      </c>
    </row>
    <row r="799" spans="1:8" x14ac:dyDescent="0.35">
      <c r="A799">
        <f t="shared" si="48"/>
        <v>1798</v>
      </c>
      <c r="B799" s="2">
        <f t="shared" ca="1" si="49"/>
        <v>45536</v>
      </c>
      <c r="C799" t="str" cm="1">
        <f t="array" aca="1" ref="C799" ca="1">INDEX(Products!$A$2:$A$9,RANDBETWEEN(1,8))</f>
        <v>Home Jersey</v>
      </c>
      <c r="D799" t="str">
        <f ca="1">_xlfn.XLOOKUP(C799,Products!A:A,Products!B:B)</f>
        <v>Jerseys</v>
      </c>
      <c r="E799" t="str" cm="1">
        <f t="array" aca="1" ref="E799" ca="1">INDEX(Regions!$A$2:$A$7,RANDBETWEEN(1,6))</f>
        <v>Galway</v>
      </c>
      <c r="F799">
        <f t="shared" ca="1" si="50"/>
        <v>5</v>
      </c>
      <c r="G799">
        <f ca="1">VLOOKUP(C799,Products!$A$2:$C$9,3,FALSE)</f>
        <v>80</v>
      </c>
      <c r="H799">
        <f t="shared" ca="1" si="51"/>
        <v>400</v>
      </c>
    </row>
    <row r="800" spans="1:8" x14ac:dyDescent="0.35">
      <c r="A800">
        <f t="shared" si="48"/>
        <v>1799</v>
      </c>
      <c r="B800" s="2">
        <f t="shared" ca="1" si="49"/>
        <v>45557</v>
      </c>
      <c r="C800" t="str" cm="1">
        <f t="array" aca="1" ref="C800" ca="1">INDEX(Products!$A$2:$A$9,RANDBETWEEN(1,8))</f>
        <v>Home Jersey</v>
      </c>
      <c r="D800" t="str">
        <f ca="1">_xlfn.XLOOKUP(C800,Products!A:A,Products!B:B)</f>
        <v>Jerseys</v>
      </c>
      <c r="E800" t="str" cm="1">
        <f t="array" aca="1" ref="E800" ca="1">INDEX(Regions!$A$2:$A$7,RANDBETWEEN(1,6))</f>
        <v>Dublin</v>
      </c>
      <c r="F800">
        <f t="shared" ca="1" si="50"/>
        <v>2</v>
      </c>
      <c r="G800">
        <f ca="1">VLOOKUP(C800,Products!$A$2:$C$9,3,FALSE)</f>
        <v>80</v>
      </c>
      <c r="H800">
        <f t="shared" ca="1" si="51"/>
        <v>160</v>
      </c>
    </row>
    <row r="801" spans="1:8" x14ac:dyDescent="0.35">
      <c r="A801">
        <f t="shared" si="48"/>
        <v>1800</v>
      </c>
      <c r="B801" s="2">
        <f t="shared" ca="1" si="49"/>
        <v>45651</v>
      </c>
      <c r="C801" t="str" cm="1">
        <f t="array" aca="1" ref="C801" ca="1">INDEX(Products!$A$2:$A$9,RANDBETWEEN(1,8))</f>
        <v>Away Jersey</v>
      </c>
      <c r="D801" t="str">
        <f ca="1">_xlfn.XLOOKUP(C801,Products!A:A,Products!B:B)</f>
        <v>Jerseys</v>
      </c>
      <c r="E801" t="str" cm="1">
        <f t="array" aca="1" ref="E801" ca="1">INDEX(Regions!$A$2:$A$7,RANDBETWEEN(1,6))</f>
        <v>Galway</v>
      </c>
      <c r="F801">
        <f t="shared" ca="1" si="50"/>
        <v>2</v>
      </c>
      <c r="G801">
        <f ca="1">VLOOKUP(C801,Products!$A$2:$C$9,3,FALSE)</f>
        <v>80</v>
      </c>
      <c r="H801">
        <f t="shared" ca="1" si="51"/>
        <v>160</v>
      </c>
    </row>
    <row r="802" spans="1:8" x14ac:dyDescent="0.35">
      <c r="A802">
        <f t="shared" si="48"/>
        <v>1801</v>
      </c>
      <c r="B802" s="2">
        <f t="shared" ca="1" si="49"/>
        <v>45717</v>
      </c>
      <c r="C802" t="str" cm="1">
        <f t="array" aca="1" ref="C802" ca="1">INDEX(Products!$A$2:$A$9,RANDBETWEEN(1,8))</f>
        <v>Home Jersey</v>
      </c>
      <c r="D802" t="str">
        <f ca="1">_xlfn.XLOOKUP(C802,Products!A:A,Products!B:B)</f>
        <v>Jerseys</v>
      </c>
      <c r="E802" t="str" cm="1">
        <f t="array" aca="1" ref="E802" ca="1">INDEX(Regions!$A$2:$A$7,RANDBETWEEN(1,6))</f>
        <v>Dublin</v>
      </c>
      <c r="F802">
        <f t="shared" ca="1" si="50"/>
        <v>4</v>
      </c>
      <c r="G802">
        <f ca="1">VLOOKUP(C802,Products!$A$2:$C$9,3,FALSE)</f>
        <v>80</v>
      </c>
      <c r="H802">
        <f t="shared" ca="1" si="51"/>
        <v>320</v>
      </c>
    </row>
    <row r="803" spans="1:8" x14ac:dyDescent="0.35">
      <c r="A803">
        <f t="shared" si="48"/>
        <v>1802</v>
      </c>
      <c r="B803" s="2">
        <f t="shared" ca="1" si="49"/>
        <v>45436</v>
      </c>
      <c r="C803" t="str" cm="1">
        <f t="array" aca="1" ref="C803" ca="1">INDEX(Products!$A$2:$A$9,RANDBETWEEN(1,8))</f>
        <v>Football</v>
      </c>
      <c r="D803" t="str">
        <f ca="1">_xlfn.XLOOKUP(C803,Products!A:A,Products!B:B)</f>
        <v>Equipment</v>
      </c>
      <c r="E803" t="str" cm="1">
        <f t="array" aca="1" ref="E803" ca="1">INDEX(Regions!$A$2:$A$7,RANDBETWEEN(1,6))</f>
        <v>Dublin</v>
      </c>
      <c r="F803">
        <f t="shared" ca="1" si="50"/>
        <v>2</v>
      </c>
      <c r="G803">
        <f ca="1">VLOOKUP(C803,Products!$A$2:$C$9,3,FALSE)</f>
        <v>30</v>
      </c>
      <c r="H803">
        <f t="shared" ca="1" si="51"/>
        <v>60</v>
      </c>
    </row>
    <row r="804" spans="1:8" x14ac:dyDescent="0.35">
      <c r="A804">
        <f t="shared" si="48"/>
        <v>1803</v>
      </c>
      <c r="B804" s="2">
        <f t="shared" ca="1" si="49"/>
        <v>45557</v>
      </c>
      <c r="C804" t="str" cm="1">
        <f t="array" aca="1" ref="C804" ca="1">INDEX(Products!$A$2:$A$9,RANDBETWEEN(1,8))</f>
        <v>Away Jersey</v>
      </c>
      <c r="D804" t="str">
        <f ca="1">_xlfn.XLOOKUP(C804,Products!A:A,Products!B:B)</f>
        <v>Jerseys</v>
      </c>
      <c r="E804" t="str" cm="1">
        <f t="array" aca="1" ref="E804" ca="1">INDEX(Regions!$A$2:$A$7,RANDBETWEEN(1,6))</f>
        <v>Limerick</v>
      </c>
      <c r="F804">
        <f t="shared" ca="1" si="50"/>
        <v>3</v>
      </c>
      <c r="G804">
        <f ca="1">VLOOKUP(C804,Products!$A$2:$C$9,3,FALSE)</f>
        <v>80</v>
      </c>
      <c r="H804">
        <f t="shared" ca="1" si="51"/>
        <v>240</v>
      </c>
    </row>
    <row r="805" spans="1:8" x14ac:dyDescent="0.35">
      <c r="A805">
        <f t="shared" si="48"/>
        <v>1804</v>
      </c>
      <c r="B805" s="2">
        <f t="shared" ca="1" si="49"/>
        <v>45660</v>
      </c>
      <c r="C805" t="str" cm="1">
        <f t="array" aca="1" ref="C805" ca="1">INDEX(Products!$A$2:$A$9,RANDBETWEEN(1,8))</f>
        <v>Away Jersey</v>
      </c>
      <c r="D805" t="str">
        <f ca="1">_xlfn.XLOOKUP(C805,Products!A:A,Products!B:B)</f>
        <v>Jerseys</v>
      </c>
      <c r="E805" t="str" cm="1">
        <f t="array" aca="1" ref="E805" ca="1">INDEX(Regions!$A$2:$A$7,RANDBETWEEN(1,6))</f>
        <v>Dublin</v>
      </c>
      <c r="F805">
        <f t="shared" ca="1" si="50"/>
        <v>1</v>
      </c>
      <c r="G805">
        <f ca="1">VLOOKUP(C805,Products!$A$2:$C$9,3,FALSE)</f>
        <v>80</v>
      </c>
      <c r="H805">
        <f t="shared" ca="1" si="51"/>
        <v>80</v>
      </c>
    </row>
    <row r="806" spans="1:8" x14ac:dyDescent="0.35">
      <c r="A806">
        <f t="shared" si="48"/>
        <v>1805</v>
      </c>
      <c r="B806" s="2">
        <f t="shared" ca="1" si="49"/>
        <v>45999</v>
      </c>
      <c r="C806" t="str" cm="1">
        <f t="array" aca="1" ref="C806" ca="1">INDEX(Products!$A$2:$A$9,RANDBETWEEN(1,8))</f>
        <v>Football</v>
      </c>
      <c r="D806" t="str">
        <f ca="1">_xlfn.XLOOKUP(C806,Products!A:A,Products!B:B)</f>
        <v>Equipment</v>
      </c>
      <c r="E806" t="str" cm="1">
        <f t="array" aca="1" ref="E806" ca="1">INDEX(Regions!$A$2:$A$7,RANDBETWEEN(1,6))</f>
        <v>Cork</v>
      </c>
      <c r="F806">
        <f t="shared" ca="1" si="50"/>
        <v>2</v>
      </c>
      <c r="G806">
        <f ca="1">VLOOKUP(C806,Products!$A$2:$C$9,3,FALSE)</f>
        <v>30</v>
      </c>
      <c r="H806">
        <f t="shared" ca="1" si="51"/>
        <v>60</v>
      </c>
    </row>
    <row r="807" spans="1:8" x14ac:dyDescent="0.35">
      <c r="A807">
        <f t="shared" si="48"/>
        <v>1806</v>
      </c>
      <c r="B807" s="2">
        <f t="shared" ca="1" si="49"/>
        <v>45822</v>
      </c>
      <c r="C807" t="str" cm="1">
        <f t="array" aca="1" ref="C807" ca="1">INDEX(Products!$A$2:$A$9,RANDBETWEEN(1,8))</f>
        <v>Jacket</v>
      </c>
      <c r="D807" t="str">
        <f ca="1">_xlfn.XLOOKUP(C807,Products!A:A,Products!B:B)</f>
        <v>Training Wear</v>
      </c>
      <c r="E807" t="str" cm="1">
        <f t="array" aca="1" ref="E807" ca="1">INDEX(Regions!$A$2:$A$7,RANDBETWEEN(1,6))</f>
        <v>Dublin</v>
      </c>
      <c r="F807">
        <f t="shared" ca="1" si="50"/>
        <v>2</v>
      </c>
      <c r="G807">
        <f ca="1">VLOOKUP(C807,Products!$A$2:$C$9,3,FALSE)</f>
        <v>90</v>
      </c>
      <c r="H807">
        <f t="shared" ca="1" si="51"/>
        <v>180</v>
      </c>
    </row>
    <row r="808" spans="1:8" x14ac:dyDescent="0.35">
      <c r="A808">
        <f t="shared" si="48"/>
        <v>1807</v>
      </c>
      <c r="B808" s="2">
        <f t="shared" ca="1" si="49"/>
        <v>45971</v>
      </c>
      <c r="C808" t="str" cm="1">
        <f t="array" aca="1" ref="C808" ca="1">INDEX(Products!$A$2:$A$9,RANDBETWEEN(1,8))</f>
        <v>Football</v>
      </c>
      <c r="D808" t="str">
        <f ca="1">_xlfn.XLOOKUP(C808,Products!A:A,Products!B:B)</f>
        <v>Equipment</v>
      </c>
      <c r="E808" t="str" cm="1">
        <f t="array" aca="1" ref="E808" ca="1">INDEX(Regions!$A$2:$A$7,RANDBETWEEN(1,6))</f>
        <v>Dublin</v>
      </c>
      <c r="F808">
        <f t="shared" ca="1" si="50"/>
        <v>4</v>
      </c>
      <c r="G808">
        <f ca="1">VLOOKUP(C808,Products!$A$2:$C$9,3,FALSE)</f>
        <v>30</v>
      </c>
      <c r="H808">
        <f t="shared" ca="1" si="51"/>
        <v>120</v>
      </c>
    </row>
    <row r="809" spans="1:8" x14ac:dyDescent="0.35">
      <c r="A809">
        <f t="shared" si="48"/>
        <v>1808</v>
      </c>
      <c r="B809" s="2">
        <f t="shared" ca="1" si="49"/>
        <v>45403</v>
      </c>
      <c r="C809" t="str" cm="1">
        <f t="array" aca="1" ref="C809" ca="1">INDEX(Products!$A$2:$A$9,RANDBETWEEN(1,8))</f>
        <v>Football</v>
      </c>
      <c r="D809" t="str">
        <f ca="1">_xlfn.XLOOKUP(C809,Products!A:A,Products!B:B)</f>
        <v>Equipment</v>
      </c>
      <c r="E809" t="str" cm="1">
        <f t="array" aca="1" ref="E809" ca="1">INDEX(Regions!$A$2:$A$7,RANDBETWEEN(1,6))</f>
        <v>Waterford</v>
      </c>
      <c r="F809">
        <f t="shared" ca="1" si="50"/>
        <v>1</v>
      </c>
      <c r="G809">
        <f ca="1">VLOOKUP(C809,Products!$A$2:$C$9,3,FALSE)</f>
        <v>30</v>
      </c>
      <c r="H809">
        <f t="shared" ca="1" si="51"/>
        <v>30</v>
      </c>
    </row>
    <row r="810" spans="1:8" x14ac:dyDescent="0.35">
      <c r="A810">
        <f t="shared" si="48"/>
        <v>1809</v>
      </c>
      <c r="B810" s="2">
        <f t="shared" ca="1" si="49"/>
        <v>45317</v>
      </c>
      <c r="C810" t="str" cm="1">
        <f t="array" aca="1" ref="C810" ca="1">INDEX(Products!$A$2:$A$9,RANDBETWEEN(1,8))</f>
        <v>Training Top</v>
      </c>
      <c r="D810" t="str">
        <f ca="1">_xlfn.XLOOKUP(C810,Products!A:A,Products!B:B)</f>
        <v>Training Wear</v>
      </c>
      <c r="E810" t="str" cm="1">
        <f t="array" aca="1" ref="E810" ca="1">INDEX(Regions!$A$2:$A$7,RANDBETWEEN(1,6))</f>
        <v>Belfast</v>
      </c>
      <c r="F810">
        <f t="shared" ca="1" si="50"/>
        <v>2</v>
      </c>
      <c r="G810">
        <f ca="1">VLOOKUP(C810,Products!$A$2:$C$9,3,FALSE)</f>
        <v>55</v>
      </c>
      <c r="H810">
        <f t="shared" ca="1" si="51"/>
        <v>110</v>
      </c>
    </row>
    <row r="811" spans="1:8" x14ac:dyDescent="0.35">
      <c r="A811">
        <f t="shared" si="48"/>
        <v>1810</v>
      </c>
      <c r="B811" s="2">
        <f t="shared" ca="1" si="49"/>
        <v>45835</v>
      </c>
      <c r="C811" t="str" cm="1">
        <f t="array" aca="1" ref="C811" ca="1">INDEX(Products!$A$2:$A$9,RANDBETWEEN(1,8))</f>
        <v>Football</v>
      </c>
      <c r="D811" t="str">
        <f ca="1">_xlfn.XLOOKUP(C811,Products!A:A,Products!B:B)</f>
        <v>Equipment</v>
      </c>
      <c r="E811" t="str" cm="1">
        <f t="array" aca="1" ref="E811" ca="1">INDEX(Regions!$A$2:$A$7,RANDBETWEEN(1,6))</f>
        <v>Galway</v>
      </c>
      <c r="F811">
        <f t="shared" ca="1" si="50"/>
        <v>2</v>
      </c>
      <c r="G811">
        <f ca="1">VLOOKUP(C811,Products!$A$2:$C$9,3,FALSE)</f>
        <v>30</v>
      </c>
      <c r="H811">
        <f t="shared" ca="1" si="51"/>
        <v>60</v>
      </c>
    </row>
    <row r="812" spans="1:8" x14ac:dyDescent="0.35">
      <c r="A812">
        <f t="shared" si="48"/>
        <v>1811</v>
      </c>
      <c r="B812" s="2">
        <f t="shared" ca="1" si="49"/>
        <v>45908</v>
      </c>
      <c r="C812" t="str" cm="1">
        <f t="array" aca="1" ref="C812" ca="1">INDEX(Products!$A$2:$A$9,RANDBETWEEN(1,8))</f>
        <v>Scarf</v>
      </c>
      <c r="D812" t="str">
        <f ca="1">_xlfn.XLOOKUP(C812,Products!A:A,Products!B:B)</f>
        <v>Accessories</v>
      </c>
      <c r="E812" t="str" cm="1">
        <f t="array" aca="1" ref="E812" ca="1">INDEX(Regions!$A$2:$A$7,RANDBETWEEN(1,6))</f>
        <v>Belfast</v>
      </c>
      <c r="F812">
        <f t="shared" ca="1" si="50"/>
        <v>1</v>
      </c>
      <c r="G812">
        <f ca="1">VLOOKUP(C812,Products!$A$2:$C$9,3,FALSE)</f>
        <v>20</v>
      </c>
      <c r="H812">
        <f t="shared" ca="1" si="51"/>
        <v>20</v>
      </c>
    </row>
    <row r="813" spans="1:8" x14ac:dyDescent="0.35">
      <c r="A813">
        <f t="shared" si="48"/>
        <v>1812</v>
      </c>
      <c r="B813" s="2">
        <f t="shared" ca="1" si="49"/>
        <v>45934</v>
      </c>
      <c r="C813" t="str" cm="1">
        <f t="array" aca="1" ref="C813" ca="1">INDEX(Products!$A$2:$A$9,RANDBETWEEN(1,8))</f>
        <v>Away Jersey</v>
      </c>
      <c r="D813" t="str">
        <f ca="1">_xlfn.XLOOKUP(C813,Products!A:A,Products!B:B)</f>
        <v>Jerseys</v>
      </c>
      <c r="E813" t="str" cm="1">
        <f t="array" aca="1" ref="E813" ca="1">INDEX(Regions!$A$2:$A$7,RANDBETWEEN(1,6))</f>
        <v>Waterford</v>
      </c>
      <c r="F813">
        <f t="shared" ca="1" si="50"/>
        <v>2</v>
      </c>
      <c r="G813">
        <f ca="1">VLOOKUP(C813,Products!$A$2:$C$9,3,FALSE)</f>
        <v>80</v>
      </c>
      <c r="H813">
        <f t="shared" ca="1" si="51"/>
        <v>160</v>
      </c>
    </row>
    <row r="814" spans="1:8" x14ac:dyDescent="0.35">
      <c r="A814">
        <f t="shared" si="48"/>
        <v>1813</v>
      </c>
      <c r="B814" s="2">
        <f t="shared" ca="1" si="49"/>
        <v>45687</v>
      </c>
      <c r="C814" t="str" cm="1">
        <f t="array" aca="1" ref="C814" ca="1">INDEX(Products!$A$2:$A$9,RANDBETWEEN(1,8))</f>
        <v>Training Top</v>
      </c>
      <c r="D814" t="str">
        <f ca="1">_xlfn.XLOOKUP(C814,Products!A:A,Products!B:B)</f>
        <v>Training Wear</v>
      </c>
      <c r="E814" t="str" cm="1">
        <f t="array" aca="1" ref="E814" ca="1">INDEX(Regions!$A$2:$A$7,RANDBETWEEN(1,6))</f>
        <v>Waterford</v>
      </c>
      <c r="F814">
        <f t="shared" ca="1" si="50"/>
        <v>4</v>
      </c>
      <c r="G814">
        <f ca="1">VLOOKUP(C814,Products!$A$2:$C$9,3,FALSE)</f>
        <v>55</v>
      </c>
      <c r="H814">
        <f t="shared" ca="1" si="51"/>
        <v>220</v>
      </c>
    </row>
    <row r="815" spans="1:8" x14ac:dyDescent="0.35">
      <c r="A815">
        <f t="shared" si="48"/>
        <v>1814</v>
      </c>
      <c r="B815" s="2">
        <f t="shared" ca="1" si="49"/>
        <v>45588</v>
      </c>
      <c r="C815" t="str" cm="1">
        <f t="array" aca="1" ref="C815" ca="1">INDEX(Products!$A$2:$A$9,RANDBETWEEN(1,8))</f>
        <v>Training Top</v>
      </c>
      <c r="D815" t="str">
        <f ca="1">_xlfn.XLOOKUP(C815,Products!A:A,Products!B:B)</f>
        <v>Training Wear</v>
      </c>
      <c r="E815" t="str" cm="1">
        <f t="array" aca="1" ref="E815" ca="1">INDEX(Regions!$A$2:$A$7,RANDBETWEEN(1,6))</f>
        <v>Belfast</v>
      </c>
      <c r="F815">
        <f t="shared" ca="1" si="50"/>
        <v>4</v>
      </c>
      <c r="G815">
        <f ca="1">VLOOKUP(C815,Products!$A$2:$C$9,3,FALSE)</f>
        <v>55</v>
      </c>
      <c r="H815">
        <f t="shared" ca="1" si="51"/>
        <v>220</v>
      </c>
    </row>
    <row r="816" spans="1:8" x14ac:dyDescent="0.35">
      <c r="A816">
        <f t="shared" si="48"/>
        <v>1815</v>
      </c>
      <c r="B816" s="2">
        <f t="shared" ca="1" si="49"/>
        <v>45977</v>
      </c>
      <c r="C816" t="str" cm="1">
        <f t="array" aca="1" ref="C816" ca="1">INDEX(Products!$A$2:$A$9,RANDBETWEEN(1,8))</f>
        <v>Jacket</v>
      </c>
      <c r="D816" t="str">
        <f ca="1">_xlfn.XLOOKUP(C816,Products!A:A,Products!B:B)</f>
        <v>Training Wear</v>
      </c>
      <c r="E816" t="str" cm="1">
        <f t="array" aca="1" ref="E816" ca="1">INDEX(Regions!$A$2:$A$7,RANDBETWEEN(1,6))</f>
        <v>Limerick</v>
      </c>
      <c r="F816">
        <f t="shared" ca="1" si="50"/>
        <v>4</v>
      </c>
      <c r="G816">
        <f ca="1">VLOOKUP(C816,Products!$A$2:$C$9,3,FALSE)</f>
        <v>90</v>
      </c>
      <c r="H816">
        <f t="shared" ca="1" si="51"/>
        <v>360</v>
      </c>
    </row>
    <row r="817" spans="1:8" x14ac:dyDescent="0.35">
      <c r="A817">
        <f t="shared" si="48"/>
        <v>1816</v>
      </c>
      <c r="B817" s="2">
        <f t="shared" ca="1" si="49"/>
        <v>45881</v>
      </c>
      <c r="C817" t="str" cm="1">
        <f t="array" aca="1" ref="C817" ca="1">INDEX(Products!$A$2:$A$9,RANDBETWEEN(1,8))</f>
        <v>Third Jersey</v>
      </c>
      <c r="D817" t="str">
        <f ca="1">_xlfn.XLOOKUP(C817,Products!A:A,Products!B:B)</f>
        <v>Jerseys</v>
      </c>
      <c r="E817" t="str" cm="1">
        <f t="array" aca="1" ref="E817" ca="1">INDEX(Regions!$A$2:$A$7,RANDBETWEEN(1,6))</f>
        <v>Cork</v>
      </c>
      <c r="F817">
        <f t="shared" ca="1" si="50"/>
        <v>2</v>
      </c>
      <c r="G817">
        <f ca="1">VLOOKUP(C817,Products!$A$2:$C$9,3,FALSE)</f>
        <v>85</v>
      </c>
      <c r="H817">
        <f t="shared" ca="1" si="51"/>
        <v>170</v>
      </c>
    </row>
    <row r="818" spans="1:8" x14ac:dyDescent="0.35">
      <c r="A818">
        <f t="shared" si="48"/>
        <v>1817</v>
      </c>
      <c r="B818" s="2">
        <f t="shared" ca="1" si="49"/>
        <v>45561</v>
      </c>
      <c r="C818" t="str" cm="1">
        <f t="array" aca="1" ref="C818" ca="1">INDEX(Products!$A$2:$A$9,RANDBETWEEN(1,8))</f>
        <v>Training Top</v>
      </c>
      <c r="D818" t="str">
        <f ca="1">_xlfn.XLOOKUP(C818,Products!A:A,Products!B:B)</f>
        <v>Training Wear</v>
      </c>
      <c r="E818" t="str" cm="1">
        <f t="array" aca="1" ref="E818" ca="1">INDEX(Regions!$A$2:$A$7,RANDBETWEEN(1,6))</f>
        <v>Limerick</v>
      </c>
      <c r="F818">
        <f t="shared" ca="1" si="50"/>
        <v>4</v>
      </c>
      <c r="G818">
        <f ca="1">VLOOKUP(C818,Products!$A$2:$C$9,3,FALSE)</f>
        <v>55</v>
      </c>
      <c r="H818">
        <f t="shared" ca="1" si="51"/>
        <v>220</v>
      </c>
    </row>
    <row r="819" spans="1:8" x14ac:dyDescent="0.35">
      <c r="A819">
        <f t="shared" si="48"/>
        <v>1818</v>
      </c>
      <c r="B819" s="2">
        <f t="shared" ca="1" si="49"/>
        <v>45578</v>
      </c>
      <c r="C819" t="str" cm="1">
        <f t="array" aca="1" ref="C819" ca="1">INDEX(Products!$A$2:$A$9,RANDBETWEEN(1,8))</f>
        <v>Away Jersey</v>
      </c>
      <c r="D819" t="str">
        <f ca="1">_xlfn.XLOOKUP(C819,Products!A:A,Products!B:B)</f>
        <v>Jerseys</v>
      </c>
      <c r="E819" t="str" cm="1">
        <f t="array" aca="1" ref="E819" ca="1">INDEX(Regions!$A$2:$A$7,RANDBETWEEN(1,6))</f>
        <v>Limerick</v>
      </c>
      <c r="F819">
        <f t="shared" ca="1" si="50"/>
        <v>4</v>
      </c>
      <c r="G819">
        <f ca="1">VLOOKUP(C819,Products!$A$2:$C$9,3,FALSE)</f>
        <v>80</v>
      </c>
      <c r="H819">
        <f t="shared" ca="1" si="51"/>
        <v>320</v>
      </c>
    </row>
    <row r="820" spans="1:8" x14ac:dyDescent="0.35">
      <c r="A820">
        <f t="shared" si="48"/>
        <v>1819</v>
      </c>
      <c r="B820" s="2">
        <f t="shared" ca="1" si="49"/>
        <v>45994</v>
      </c>
      <c r="C820" t="str" cm="1">
        <f t="array" aca="1" ref="C820" ca="1">INDEX(Products!$A$2:$A$9,RANDBETWEEN(1,8))</f>
        <v>Football</v>
      </c>
      <c r="D820" t="str">
        <f ca="1">_xlfn.XLOOKUP(C820,Products!A:A,Products!B:B)</f>
        <v>Equipment</v>
      </c>
      <c r="E820" t="str" cm="1">
        <f t="array" aca="1" ref="E820" ca="1">INDEX(Regions!$A$2:$A$7,RANDBETWEEN(1,6))</f>
        <v>Limerick</v>
      </c>
      <c r="F820">
        <f t="shared" ca="1" si="50"/>
        <v>5</v>
      </c>
      <c r="G820">
        <f ca="1">VLOOKUP(C820,Products!$A$2:$C$9,3,FALSE)</f>
        <v>30</v>
      </c>
      <c r="H820">
        <f t="shared" ca="1" si="51"/>
        <v>150</v>
      </c>
    </row>
    <row r="821" spans="1:8" x14ac:dyDescent="0.35">
      <c r="A821">
        <f t="shared" si="48"/>
        <v>1820</v>
      </c>
      <c r="B821" s="2">
        <f t="shared" ca="1" si="49"/>
        <v>45881</v>
      </c>
      <c r="C821" t="str" cm="1">
        <f t="array" aca="1" ref="C821" ca="1">INDEX(Products!$A$2:$A$9,RANDBETWEEN(1,8))</f>
        <v>Training Top</v>
      </c>
      <c r="D821" t="str">
        <f ca="1">_xlfn.XLOOKUP(C821,Products!A:A,Products!B:B)</f>
        <v>Training Wear</v>
      </c>
      <c r="E821" t="str" cm="1">
        <f t="array" aca="1" ref="E821" ca="1">INDEX(Regions!$A$2:$A$7,RANDBETWEEN(1,6))</f>
        <v>Dublin</v>
      </c>
      <c r="F821">
        <f t="shared" ca="1" si="50"/>
        <v>2</v>
      </c>
      <c r="G821">
        <f ca="1">VLOOKUP(C821,Products!$A$2:$C$9,3,FALSE)</f>
        <v>55</v>
      </c>
      <c r="H821">
        <f t="shared" ca="1" si="51"/>
        <v>110</v>
      </c>
    </row>
    <row r="822" spans="1:8" x14ac:dyDescent="0.35">
      <c r="A822">
        <f t="shared" si="48"/>
        <v>1821</v>
      </c>
      <c r="B822" s="2">
        <f t="shared" ca="1" si="49"/>
        <v>45490</v>
      </c>
      <c r="C822" t="str" cm="1">
        <f t="array" aca="1" ref="C822" ca="1">INDEX(Products!$A$2:$A$9,RANDBETWEEN(1,8))</f>
        <v>Home Jersey</v>
      </c>
      <c r="D822" t="str">
        <f ca="1">_xlfn.XLOOKUP(C822,Products!A:A,Products!B:B)</f>
        <v>Jerseys</v>
      </c>
      <c r="E822" t="str" cm="1">
        <f t="array" aca="1" ref="E822" ca="1">INDEX(Regions!$A$2:$A$7,RANDBETWEEN(1,6))</f>
        <v>Galway</v>
      </c>
      <c r="F822">
        <f t="shared" ca="1" si="50"/>
        <v>5</v>
      </c>
      <c r="G822">
        <f ca="1">VLOOKUP(C822,Products!$A$2:$C$9,3,FALSE)</f>
        <v>80</v>
      </c>
      <c r="H822">
        <f t="shared" ca="1" si="51"/>
        <v>400</v>
      </c>
    </row>
    <row r="823" spans="1:8" x14ac:dyDescent="0.35">
      <c r="A823">
        <f t="shared" si="48"/>
        <v>1822</v>
      </c>
      <c r="B823" s="2">
        <f t="shared" ca="1" si="49"/>
        <v>45374</v>
      </c>
      <c r="C823" t="str" cm="1">
        <f t="array" aca="1" ref="C823" ca="1">INDEX(Products!$A$2:$A$9,RANDBETWEEN(1,8))</f>
        <v>Scarf</v>
      </c>
      <c r="D823" t="str">
        <f ca="1">_xlfn.XLOOKUP(C823,Products!A:A,Products!B:B)</f>
        <v>Accessories</v>
      </c>
      <c r="E823" t="str" cm="1">
        <f t="array" aca="1" ref="E823" ca="1">INDEX(Regions!$A$2:$A$7,RANDBETWEEN(1,6))</f>
        <v>Waterford</v>
      </c>
      <c r="F823">
        <f t="shared" ca="1" si="50"/>
        <v>4</v>
      </c>
      <c r="G823">
        <f ca="1">VLOOKUP(C823,Products!$A$2:$C$9,3,FALSE)</f>
        <v>20</v>
      </c>
      <c r="H823">
        <f t="shared" ca="1" si="51"/>
        <v>80</v>
      </c>
    </row>
    <row r="824" spans="1:8" x14ac:dyDescent="0.35">
      <c r="A824">
        <f t="shared" si="48"/>
        <v>1823</v>
      </c>
      <c r="B824" s="2">
        <f t="shared" ca="1" si="49"/>
        <v>45995</v>
      </c>
      <c r="C824" t="str" cm="1">
        <f t="array" aca="1" ref="C824" ca="1">INDEX(Products!$A$2:$A$9,RANDBETWEEN(1,8))</f>
        <v>Home Jersey</v>
      </c>
      <c r="D824" t="str">
        <f ca="1">_xlfn.XLOOKUP(C824,Products!A:A,Products!B:B)</f>
        <v>Jerseys</v>
      </c>
      <c r="E824" t="str" cm="1">
        <f t="array" aca="1" ref="E824" ca="1">INDEX(Regions!$A$2:$A$7,RANDBETWEEN(1,6))</f>
        <v>Limerick</v>
      </c>
      <c r="F824">
        <f t="shared" ca="1" si="50"/>
        <v>2</v>
      </c>
      <c r="G824">
        <f ca="1">VLOOKUP(C824,Products!$A$2:$C$9,3,FALSE)</f>
        <v>80</v>
      </c>
      <c r="H824">
        <f t="shared" ca="1" si="51"/>
        <v>160</v>
      </c>
    </row>
    <row r="825" spans="1:8" x14ac:dyDescent="0.35">
      <c r="A825">
        <f t="shared" si="48"/>
        <v>1824</v>
      </c>
      <c r="B825" s="2">
        <f t="shared" ca="1" si="49"/>
        <v>45768</v>
      </c>
      <c r="C825" t="str" cm="1">
        <f t="array" aca="1" ref="C825" ca="1">INDEX(Products!$A$2:$A$9,RANDBETWEEN(1,8))</f>
        <v>Scarf</v>
      </c>
      <c r="D825" t="str">
        <f ca="1">_xlfn.XLOOKUP(C825,Products!A:A,Products!B:B)</f>
        <v>Accessories</v>
      </c>
      <c r="E825" t="str" cm="1">
        <f t="array" aca="1" ref="E825" ca="1">INDEX(Regions!$A$2:$A$7,RANDBETWEEN(1,6))</f>
        <v>Waterford</v>
      </c>
      <c r="F825">
        <f t="shared" ca="1" si="50"/>
        <v>3</v>
      </c>
      <c r="G825">
        <f ca="1">VLOOKUP(C825,Products!$A$2:$C$9,3,FALSE)</f>
        <v>20</v>
      </c>
      <c r="H825">
        <f t="shared" ca="1" si="51"/>
        <v>60</v>
      </c>
    </row>
    <row r="826" spans="1:8" x14ac:dyDescent="0.35">
      <c r="A826">
        <f t="shared" si="48"/>
        <v>1825</v>
      </c>
      <c r="B826" s="2">
        <f t="shared" ca="1" si="49"/>
        <v>45393</v>
      </c>
      <c r="C826" t="str" cm="1">
        <f t="array" aca="1" ref="C826" ca="1">INDEX(Products!$A$2:$A$9,RANDBETWEEN(1,8))</f>
        <v>Away Jersey</v>
      </c>
      <c r="D826" t="str">
        <f ca="1">_xlfn.XLOOKUP(C826,Products!A:A,Products!B:B)</f>
        <v>Jerseys</v>
      </c>
      <c r="E826" t="str" cm="1">
        <f t="array" aca="1" ref="E826" ca="1">INDEX(Regions!$A$2:$A$7,RANDBETWEEN(1,6))</f>
        <v>Galway</v>
      </c>
      <c r="F826">
        <f t="shared" ca="1" si="50"/>
        <v>4</v>
      </c>
      <c r="G826">
        <f ca="1">VLOOKUP(C826,Products!$A$2:$C$9,3,FALSE)</f>
        <v>80</v>
      </c>
      <c r="H826">
        <f t="shared" ca="1" si="51"/>
        <v>320</v>
      </c>
    </row>
    <row r="827" spans="1:8" x14ac:dyDescent="0.35">
      <c r="A827">
        <f t="shared" si="48"/>
        <v>1826</v>
      </c>
      <c r="B827" s="2">
        <f t="shared" ca="1" si="49"/>
        <v>45601</v>
      </c>
      <c r="C827" t="str" cm="1">
        <f t="array" aca="1" ref="C827" ca="1">INDEX(Products!$A$2:$A$9,RANDBETWEEN(1,8))</f>
        <v>Football</v>
      </c>
      <c r="D827" t="str">
        <f ca="1">_xlfn.XLOOKUP(C827,Products!A:A,Products!B:B)</f>
        <v>Equipment</v>
      </c>
      <c r="E827" t="str" cm="1">
        <f t="array" aca="1" ref="E827" ca="1">INDEX(Regions!$A$2:$A$7,RANDBETWEEN(1,6))</f>
        <v>Limerick</v>
      </c>
      <c r="F827">
        <f t="shared" ca="1" si="50"/>
        <v>3</v>
      </c>
      <c r="G827">
        <f ca="1">VLOOKUP(C827,Products!$A$2:$C$9,3,FALSE)</f>
        <v>30</v>
      </c>
      <c r="H827">
        <f t="shared" ca="1" si="51"/>
        <v>90</v>
      </c>
    </row>
    <row r="828" spans="1:8" x14ac:dyDescent="0.35">
      <c r="A828">
        <f t="shared" si="48"/>
        <v>1827</v>
      </c>
      <c r="B828" s="2">
        <f t="shared" ca="1" si="49"/>
        <v>45455</v>
      </c>
      <c r="C828" t="str" cm="1">
        <f t="array" aca="1" ref="C828" ca="1">INDEX(Products!$A$2:$A$9,RANDBETWEEN(1,8))</f>
        <v>Football</v>
      </c>
      <c r="D828" t="str">
        <f ca="1">_xlfn.XLOOKUP(C828,Products!A:A,Products!B:B)</f>
        <v>Equipment</v>
      </c>
      <c r="E828" t="str" cm="1">
        <f t="array" aca="1" ref="E828" ca="1">INDEX(Regions!$A$2:$A$7,RANDBETWEEN(1,6))</f>
        <v>Cork</v>
      </c>
      <c r="F828">
        <f t="shared" ca="1" si="50"/>
        <v>4</v>
      </c>
      <c r="G828">
        <f ca="1">VLOOKUP(C828,Products!$A$2:$C$9,3,FALSE)</f>
        <v>30</v>
      </c>
      <c r="H828">
        <f t="shared" ca="1" si="51"/>
        <v>120</v>
      </c>
    </row>
    <row r="829" spans="1:8" x14ac:dyDescent="0.35">
      <c r="A829">
        <f t="shared" si="48"/>
        <v>1828</v>
      </c>
      <c r="B829" s="2">
        <f t="shared" ca="1" si="49"/>
        <v>45668</v>
      </c>
      <c r="C829" t="str" cm="1">
        <f t="array" aca="1" ref="C829" ca="1">INDEX(Products!$A$2:$A$9,RANDBETWEEN(1,8))</f>
        <v>Training Top</v>
      </c>
      <c r="D829" t="str">
        <f ca="1">_xlfn.XLOOKUP(C829,Products!A:A,Products!B:B)</f>
        <v>Training Wear</v>
      </c>
      <c r="E829" t="str" cm="1">
        <f t="array" aca="1" ref="E829" ca="1">INDEX(Regions!$A$2:$A$7,RANDBETWEEN(1,6))</f>
        <v>Cork</v>
      </c>
      <c r="F829">
        <f t="shared" ca="1" si="50"/>
        <v>5</v>
      </c>
      <c r="G829">
        <f ca="1">VLOOKUP(C829,Products!$A$2:$C$9,3,FALSE)</f>
        <v>55</v>
      </c>
      <c r="H829">
        <f t="shared" ca="1" si="51"/>
        <v>275</v>
      </c>
    </row>
    <row r="830" spans="1:8" x14ac:dyDescent="0.35">
      <c r="A830">
        <f t="shared" si="48"/>
        <v>1829</v>
      </c>
      <c r="B830" s="2">
        <f t="shared" ca="1" si="49"/>
        <v>45445</v>
      </c>
      <c r="C830" t="str" cm="1">
        <f t="array" aca="1" ref="C830" ca="1">INDEX(Products!$A$2:$A$9,RANDBETWEEN(1,8))</f>
        <v>Training Top</v>
      </c>
      <c r="D830" t="str">
        <f ca="1">_xlfn.XLOOKUP(C830,Products!A:A,Products!B:B)</f>
        <v>Training Wear</v>
      </c>
      <c r="E830" t="str" cm="1">
        <f t="array" aca="1" ref="E830" ca="1">INDEX(Regions!$A$2:$A$7,RANDBETWEEN(1,6))</f>
        <v>Galway</v>
      </c>
      <c r="F830">
        <f t="shared" ca="1" si="50"/>
        <v>1</v>
      </c>
      <c r="G830">
        <f ca="1">VLOOKUP(C830,Products!$A$2:$C$9,3,FALSE)</f>
        <v>55</v>
      </c>
      <c r="H830">
        <f t="shared" ca="1" si="51"/>
        <v>55</v>
      </c>
    </row>
    <row r="831" spans="1:8" x14ac:dyDescent="0.35">
      <c r="A831">
        <f t="shared" si="48"/>
        <v>1830</v>
      </c>
      <c r="B831" s="2">
        <f t="shared" ca="1" si="49"/>
        <v>45845</v>
      </c>
      <c r="C831" t="str" cm="1">
        <f t="array" aca="1" ref="C831" ca="1">INDEX(Products!$A$2:$A$9,RANDBETWEEN(1,8))</f>
        <v>Away Jersey</v>
      </c>
      <c r="D831" t="str">
        <f ca="1">_xlfn.XLOOKUP(C831,Products!A:A,Products!B:B)</f>
        <v>Jerseys</v>
      </c>
      <c r="E831" t="str" cm="1">
        <f t="array" aca="1" ref="E831" ca="1">INDEX(Regions!$A$2:$A$7,RANDBETWEEN(1,6))</f>
        <v>Limerick</v>
      </c>
      <c r="F831">
        <f t="shared" ca="1" si="50"/>
        <v>5</v>
      </c>
      <c r="G831">
        <f ca="1">VLOOKUP(C831,Products!$A$2:$C$9,3,FALSE)</f>
        <v>80</v>
      </c>
      <c r="H831">
        <f t="shared" ca="1" si="51"/>
        <v>400</v>
      </c>
    </row>
    <row r="832" spans="1:8" x14ac:dyDescent="0.35">
      <c r="A832">
        <f t="shared" si="48"/>
        <v>1831</v>
      </c>
      <c r="B832" s="2">
        <f t="shared" ca="1" si="49"/>
        <v>45934</v>
      </c>
      <c r="C832" t="str" cm="1">
        <f t="array" aca="1" ref="C832" ca="1">INDEX(Products!$A$2:$A$9,RANDBETWEEN(1,8))</f>
        <v>Away Jersey</v>
      </c>
      <c r="D832" t="str">
        <f ca="1">_xlfn.XLOOKUP(C832,Products!A:A,Products!B:B)</f>
        <v>Jerseys</v>
      </c>
      <c r="E832" t="str" cm="1">
        <f t="array" aca="1" ref="E832" ca="1">INDEX(Regions!$A$2:$A$7,RANDBETWEEN(1,6))</f>
        <v>Dublin</v>
      </c>
      <c r="F832">
        <f t="shared" ca="1" si="50"/>
        <v>4</v>
      </c>
      <c r="G832">
        <f ca="1">VLOOKUP(C832,Products!$A$2:$C$9,3,FALSE)</f>
        <v>80</v>
      </c>
      <c r="H832">
        <f t="shared" ca="1" si="51"/>
        <v>320</v>
      </c>
    </row>
    <row r="833" spans="1:8" x14ac:dyDescent="0.35">
      <c r="A833">
        <f t="shared" si="48"/>
        <v>1832</v>
      </c>
      <c r="B833" s="2">
        <f t="shared" ca="1" si="49"/>
        <v>45741</v>
      </c>
      <c r="C833" t="str" cm="1">
        <f t="array" aca="1" ref="C833" ca="1">INDEX(Products!$A$2:$A$9,RANDBETWEEN(1,8))</f>
        <v>Hat</v>
      </c>
      <c r="D833" t="str">
        <f ca="1">_xlfn.XLOOKUP(C833,Products!A:A,Products!B:B)</f>
        <v>Accessories</v>
      </c>
      <c r="E833" t="str" cm="1">
        <f t="array" aca="1" ref="E833" ca="1">INDEX(Regions!$A$2:$A$7,RANDBETWEEN(1,6))</f>
        <v>Galway</v>
      </c>
      <c r="F833">
        <f t="shared" ca="1" si="50"/>
        <v>5</v>
      </c>
      <c r="G833">
        <f ca="1">VLOOKUP(C833,Products!$A$2:$C$9,3,FALSE)</f>
        <v>25</v>
      </c>
      <c r="H833">
        <f t="shared" ca="1" si="51"/>
        <v>125</v>
      </c>
    </row>
    <row r="834" spans="1:8" x14ac:dyDescent="0.35">
      <c r="A834">
        <f t="shared" si="48"/>
        <v>1833</v>
      </c>
      <c r="B834" s="2">
        <f t="shared" ca="1" si="49"/>
        <v>45618</v>
      </c>
      <c r="C834" t="str" cm="1">
        <f t="array" aca="1" ref="C834" ca="1">INDEX(Products!$A$2:$A$9,RANDBETWEEN(1,8))</f>
        <v>Hat</v>
      </c>
      <c r="D834" t="str">
        <f ca="1">_xlfn.XLOOKUP(C834,Products!A:A,Products!B:B)</f>
        <v>Accessories</v>
      </c>
      <c r="E834" t="str" cm="1">
        <f t="array" aca="1" ref="E834" ca="1">INDEX(Regions!$A$2:$A$7,RANDBETWEEN(1,6))</f>
        <v>Belfast</v>
      </c>
      <c r="F834">
        <f t="shared" ca="1" si="50"/>
        <v>5</v>
      </c>
      <c r="G834">
        <f ca="1">VLOOKUP(C834,Products!$A$2:$C$9,3,FALSE)</f>
        <v>25</v>
      </c>
      <c r="H834">
        <f t="shared" ca="1" si="51"/>
        <v>125</v>
      </c>
    </row>
    <row r="835" spans="1:8" x14ac:dyDescent="0.35">
      <c r="A835">
        <f t="shared" ref="A835:A898" si="52">ROW()+999</f>
        <v>1834</v>
      </c>
      <c r="B835" s="2">
        <f t="shared" ref="B835:B898" ca="1" si="53">DATE(2024,1,1)+RANDBETWEEN(0,730)</f>
        <v>45451</v>
      </c>
      <c r="C835" t="str" cm="1">
        <f t="array" aca="1" ref="C835" ca="1">INDEX(Products!$A$2:$A$9,RANDBETWEEN(1,8))</f>
        <v>Football</v>
      </c>
      <c r="D835" t="str">
        <f ca="1">_xlfn.XLOOKUP(C835,Products!A:A,Products!B:B)</f>
        <v>Equipment</v>
      </c>
      <c r="E835" t="str" cm="1">
        <f t="array" aca="1" ref="E835" ca="1">INDEX(Regions!$A$2:$A$7,RANDBETWEEN(1,6))</f>
        <v>Waterford</v>
      </c>
      <c r="F835">
        <f t="shared" ref="F835:F898" ca="1" si="54">RANDBETWEEN(1,5)</f>
        <v>4</v>
      </c>
      <c r="G835">
        <f ca="1">VLOOKUP(C835,Products!$A$2:$C$9,3,FALSE)</f>
        <v>30</v>
      </c>
      <c r="H835">
        <f t="shared" ref="H835:H898" ca="1" si="55">F835*G835</f>
        <v>120</v>
      </c>
    </row>
    <row r="836" spans="1:8" x14ac:dyDescent="0.35">
      <c r="A836">
        <f t="shared" si="52"/>
        <v>1835</v>
      </c>
      <c r="B836" s="2">
        <f t="shared" ca="1" si="53"/>
        <v>45661</v>
      </c>
      <c r="C836" t="str" cm="1">
        <f t="array" aca="1" ref="C836" ca="1">INDEX(Products!$A$2:$A$9,RANDBETWEEN(1,8))</f>
        <v>Away Jersey</v>
      </c>
      <c r="D836" t="str">
        <f ca="1">_xlfn.XLOOKUP(C836,Products!A:A,Products!B:B)</f>
        <v>Jerseys</v>
      </c>
      <c r="E836" t="str" cm="1">
        <f t="array" aca="1" ref="E836" ca="1">INDEX(Regions!$A$2:$A$7,RANDBETWEEN(1,6))</f>
        <v>Dublin</v>
      </c>
      <c r="F836">
        <f t="shared" ca="1" si="54"/>
        <v>3</v>
      </c>
      <c r="G836">
        <f ca="1">VLOOKUP(C836,Products!$A$2:$C$9,3,FALSE)</f>
        <v>80</v>
      </c>
      <c r="H836">
        <f t="shared" ca="1" si="55"/>
        <v>240</v>
      </c>
    </row>
    <row r="837" spans="1:8" x14ac:dyDescent="0.35">
      <c r="A837">
        <f t="shared" si="52"/>
        <v>1836</v>
      </c>
      <c r="B837" s="2">
        <f t="shared" ca="1" si="53"/>
        <v>45498</v>
      </c>
      <c r="C837" t="str" cm="1">
        <f t="array" aca="1" ref="C837" ca="1">INDEX(Products!$A$2:$A$9,RANDBETWEEN(1,8))</f>
        <v>Third Jersey</v>
      </c>
      <c r="D837" t="str">
        <f ca="1">_xlfn.XLOOKUP(C837,Products!A:A,Products!B:B)</f>
        <v>Jerseys</v>
      </c>
      <c r="E837" t="str" cm="1">
        <f t="array" aca="1" ref="E837" ca="1">INDEX(Regions!$A$2:$A$7,RANDBETWEEN(1,6))</f>
        <v>Dublin</v>
      </c>
      <c r="F837">
        <f t="shared" ca="1" si="54"/>
        <v>2</v>
      </c>
      <c r="G837">
        <f ca="1">VLOOKUP(C837,Products!$A$2:$C$9,3,FALSE)</f>
        <v>85</v>
      </c>
      <c r="H837">
        <f t="shared" ca="1" si="55"/>
        <v>170</v>
      </c>
    </row>
    <row r="838" spans="1:8" x14ac:dyDescent="0.35">
      <c r="A838">
        <f t="shared" si="52"/>
        <v>1837</v>
      </c>
      <c r="B838" s="2">
        <f t="shared" ca="1" si="53"/>
        <v>45659</v>
      </c>
      <c r="C838" t="str" cm="1">
        <f t="array" aca="1" ref="C838" ca="1">INDEX(Products!$A$2:$A$9,RANDBETWEEN(1,8))</f>
        <v>Home Jersey</v>
      </c>
      <c r="D838" t="str">
        <f ca="1">_xlfn.XLOOKUP(C838,Products!A:A,Products!B:B)</f>
        <v>Jerseys</v>
      </c>
      <c r="E838" t="str" cm="1">
        <f t="array" aca="1" ref="E838" ca="1">INDEX(Regions!$A$2:$A$7,RANDBETWEEN(1,6))</f>
        <v>Galway</v>
      </c>
      <c r="F838">
        <f t="shared" ca="1" si="54"/>
        <v>5</v>
      </c>
      <c r="G838">
        <f ca="1">VLOOKUP(C838,Products!$A$2:$C$9,3,FALSE)</f>
        <v>80</v>
      </c>
      <c r="H838">
        <f t="shared" ca="1" si="55"/>
        <v>400</v>
      </c>
    </row>
    <row r="839" spans="1:8" x14ac:dyDescent="0.35">
      <c r="A839">
        <f t="shared" si="52"/>
        <v>1838</v>
      </c>
      <c r="B839" s="2">
        <f t="shared" ca="1" si="53"/>
        <v>45881</v>
      </c>
      <c r="C839" t="str" cm="1">
        <f t="array" aca="1" ref="C839" ca="1">INDEX(Products!$A$2:$A$9,RANDBETWEEN(1,8))</f>
        <v>Training Top</v>
      </c>
      <c r="D839" t="str">
        <f ca="1">_xlfn.XLOOKUP(C839,Products!A:A,Products!B:B)</f>
        <v>Training Wear</v>
      </c>
      <c r="E839" t="str" cm="1">
        <f t="array" aca="1" ref="E839" ca="1">INDEX(Regions!$A$2:$A$7,RANDBETWEEN(1,6))</f>
        <v>Galway</v>
      </c>
      <c r="F839">
        <f t="shared" ca="1" si="54"/>
        <v>4</v>
      </c>
      <c r="G839">
        <f ca="1">VLOOKUP(C839,Products!$A$2:$C$9,3,FALSE)</f>
        <v>55</v>
      </c>
      <c r="H839">
        <f t="shared" ca="1" si="55"/>
        <v>220</v>
      </c>
    </row>
    <row r="840" spans="1:8" x14ac:dyDescent="0.35">
      <c r="A840">
        <f t="shared" si="52"/>
        <v>1839</v>
      </c>
      <c r="B840" s="2">
        <f t="shared" ca="1" si="53"/>
        <v>45297</v>
      </c>
      <c r="C840" t="str" cm="1">
        <f t="array" aca="1" ref="C840" ca="1">INDEX(Products!$A$2:$A$9,RANDBETWEEN(1,8))</f>
        <v>Training Top</v>
      </c>
      <c r="D840" t="str">
        <f ca="1">_xlfn.XLOOKUP(C840,Products!A:A,Products!B:B)</f>
        <v>Training Wear</v>
      </c>
      <c r="E840" t="str" cm="1">
        <f t="array" aca="1" ref="E840" ca="1">INDEX(Regions!$A$2:$A$7,RANDBETWEEN(1,6))</f>
        <v>Galway</v>
      </c>
      <c r="F840">
        <f t="shared" ca="1" si="54"/>
        <v>4</v>
      </c>
      <c r="G840">
        <f ca="1">VLOOKUP(C840,Products!$A$2:$C$9,3,FALSE)</f>
        <v>55</v>
      </c>
      <c r="H840">
        <f t="shared" ca="1" si="55"/>
        <v>220</v>
      </c>
    </row>
    <row r="841" spans="1:8" x14ac:dyDescent="0.35">
      <c r="A841">
        <f t="shared" si="52"/>
        <v>1840</v>
      </c>
      <c r="B841" s="2">
        <f t="shared" ca="1" si="53"/>
        <v>45942</v>
      </c>
      <c r="C841" t="str" cm="1">
        <f t="array" aca="1" ref="C841" ca="1">INDEX(Products!$A$2:$A$9,RANDBETWEEN(1,8))</f>
        <v>Scarf</v>
      </c>
      <c r="D841" t="str">
        <f ca="1">_xlfn.XLOOKUP(C841,Products!A:A,Products!B:B)</f>
        <v>Accessories</v>
      </c>
      <c r="E841" t="str" cm="1">
        <f t="array" aca="1" ref="E841" ca="1">INDEX(Regions!$A$2:$A$7,RANDBETWEEN(1,6))</f>
        <v>Limerick</v>
      </c>
      <c r="F841">
        <f t="shared" ca="1" si="54"/>
        <v>3</v>
      </c>
      <c r="G841">
        <f ca="1">VLOOKUP(C841,Products!$A$2:$C$9,3,FALSE)</f>
        <v>20</v>
      </c>
      <c r="H841">
        <f t="shared" ca="1" si="55"/>
        <v>60</v>
      </c>
    </row>
    <row r="842" spans="1:8" x14ac:dyDescent="0.35">
      <c r="A842">
        <f t="shared" si="52"/>
        <v>1841</v>
      </c>
      <c r="B842" s="2">
        <f t="shared" ca="1" si="53"/>
        <v>45582</v>
      </c>
      <c r="C842" t="str" cm="1">
        <f t="array" aca="1" ref="C842" ca="1">INDEX(Products!$A$2:$A$9,RANDBETWEEN(1,8))</f>
        <v>Home Jersey</v>
      </c>
      <c r="D842" t="str">
        <f ca="1">_xlfn.XLOOKUP(C842,Products!A:A,Products!B:B)</f>
        <v>Jerseys</v>
      </c>
      <c r="E842" t="str" cm="1">
        <f t="array" aca="1" ref="E842" ca="1">INDEX(Regions!$A$2:$A$7,RANDBETWEEN(1,6))</f>
        <v>Waterford</v>
      </c>
      <c r="F842">
        <f t="shared" ca="1" si="54"/>
        <v>5</v>
      </c>
      <c r="G842">
        <f ca="1">VLOOKUP(C842,Products!$A$2:$C$9,3,FALSE)</f>
        <v>80</v>
      </c>
      <c r="H842">
        <f t="shared" ca="1" si="55"/>
        <v>400</v>
      </c>
    </row>
    <row r="843" spans="1:8" x14ac:dyDescent="0.35">
      <c r="A843">
        <f t="shared" si="52"/>
        <v>1842</v>
      </c>
      <c r="B843" s="2">
        <f t="shared" ca="1" si="53"/>
        <v>45578</v>
      </c>
      <c r="C843" t="str" cm="1">
        <f t="array" aca="1" ref="C843" ca="1">INDEX(Products!$A$2:$A$9,RANDBETWEEN(1,8))</f>
        <v>Third Jersey</v>
      </c>
      <c r="D843" t="str">
        <f ca="1">_xlfn.XLOOKUP(C843,Products!A:A,Products!B:B)</f>
        <v>Jerseys</v>
      </c>
      <c r="E843" t="str" cm="1">
        <f t="array" aca="1" ref="E843" ca="1">INDEX(Regions!$A$2:$A$7,RANDBETWEEN(1,6))</f>
        <v>Galway</v>
      </c>
      <c r="F843">
        <f t="shared" ca="1" si="54"/>
        <v>1</v>
      </c>
      <c r="G843">
        <f ca="1">VLOOKUP(C843,Products!$A$2:$C$9,3,FALSE)</f>
        <v>85</v>
      </c>
      <c r="H843">
        <f t="shared" ca="1" si="55"/>
        <v>85</v>
      </c>
    </row>
    <row r="844" spans="1:8" x14ac:dyDescent="0.35">
      <c r="A844">
        <f t="shared" si="52"/>
        <v>1843</v>
      </c>
      <c r="B844" s="2">
        <f t="shared" ca="1" si="53"/>
        <v>45803</v>
      </c>
      <c r="C844" t="str" cm="1">
        <f t="array" aca="1" ref="C844" ca="1">INDEX(Products!$A$2:$A$9,RANDBETWEEN(1,8))</f>
        <v>Jacket</v>
      </c>
      <c r="D844" t="str">
        <f ca="1">_xlfn.XLOOKUP(C844,Products!A:A,Products!B:B)</f>
        <v>Training Wear</v>
      </c>
      <c r="E844" t="str" cm="1">
        <f t="array" aca="1" ref="E844" ca="1">INDEX(Regions!$A$2:$A$7,RANDBETWEEN(1,6))</f>
        <v>Belfast</v>
      </c>
      <c r="F844">
        <f t="shared" ca="1" si="54"/>
        <v>5</v>
      </c>
      <c r="G844">
        <f ca="1">VLOOKUP(C844,Products!$A$2:$C$9,3,FALSE)</f>
        <v>90</v>
      </c>
      <c r="H844">
        <f t="shared" ca="1" si="55"/>
        <v>450</v>
      </c>
    </row>
    <row r="845" spans="1:8" x14ac:dyDescent="0.35">
      <c r="A845">
        <f t="shared" si="52"/>
        <v>1844</v>
      </c>
      <c r="B845" s="2">
        <f t="shared" ca="1" si="53"/>
        <v>45493</v>
      </c>
      <c r="C845" t="str" cm="1">
        <f t="array" aca="1" ref="C845" ca="1">INDEX(Products!$A$2:$A$9,RANDBETWEEN(1,8))</f>
        <v>Away Jersey</v>
      </c>
      <c r="D845" t="str">
        <f ca="1">_xlfn.XLOOKUP(C845,Products!A:A,Products!B:B)</f>
        <v>Jerseys</v>
      </c>
      <c r="E845" t="str" cm="1">
        <f t="array" aca="1" ref="E845" ca="1">INDEX(Regions!$A$2:$A$7,RANDBETWEEN(1,6))</f>
        <v>Cork</v>
      </c>
      <c r="F845">
        <f t="shared" ca="1" si="54"/>
        <v>1</v>
      </c>
      <c r="G845">
        <f ca="1">VLOOKUP(C845,Products!$A$2:$C$9,3,FALSE)</f>
        <v>80</v>
      </c>
      <c r="H845">
        <f t="shared" ca="1" si="55"/>
        <v>80</v>
      </c>
    </row>
    <row r="846" spans="1:8" x14ac:dyDescent="0.35">
      <c r="A846">
        <f t="shared" si="52"/>
        <v>1845</v>
      </c>
      <c r="B846" s="2">
        <f t="shared" ca="1" si="53"/>
        <v>45760</v>
      </c>
      <c r="C846" t="str" cm="1">
        <f t="array" aca="1" ref="C846" ca="1">INDEX(Products!$A$2:$A$9,RANDBETWEEN(1,8))</f>
        <v>Football</v>
      </c>
      <c r="D846" t="str">
        <f ca="1">_xlfn.XLOOKUP(C846,Products!A:A,Products!B:B)</f>
        <v>Equipment</v>
      </c>
      <c r="E846" t="str" cm="1">
        <f t="array" aca="1" ref="E846" ca="1">INDEX(Regions!$A$2:$A$7,RANDBETWEEN(1,6))</f>
        <v>Cork</v>
      </c>
      <c r="F846">
        <f t="shared" ca="1" si="54"/>
        <v>1</v>
      </c>
      <c r="G846">
        <f ca="1">VLOOKUP(C846,Products!$A$2:$C$9,3,FALSE)</f>
        <v>30</v>
      </c>
      <c r="H846">
        <f t="shared" ca="1" si="55"/>
        <v>30</v>
      </c>
    </row>
    <row r="847" spans="1:8" x14ac:dyDescent="0.35">
      <c r="A847">
        <f t="shared" si="52"/>
        <v>1846</v>
      </c>
      <c r="B847" s="2">
        <f t="shared" ca="1" si="53"/>
        <v>45838</v>
      </c>
      <c r="C847" t="str" cm="1">
        <f t="array" aca="1" ref="C847" ca="1">INDEX(Products!$A$2:$A$9,RANDBETWEEN(1,8))</f>
        <v>Jacket</v>
      </c>
      <c r="D847" t="str">
        <f ca="1">_xlfn.XLOOKUP(C847,Products!A:A,Products!B:B)</f>
        <v>Training Wear</v>
      </c>
      <c r="E847" t="str" cm="1">
        <f t="array" aca="1" ref="E847" ca="1">INDEX(Regions!$A$2:$A$7,RANDBETWEEN(1,6))</f>
        <v>Dublin</v>
      </c>
      <c r="F847">
        <f t="shared" ca="1" si="54"/>
        <v>3</v>
      </c>
      <c r="G847">
        <f ca="1">VLOOKUP(C847,Products!$A$2:$C$9,3,FALSE)</f>
        <v>90</v>
      </c>
      <c r="H847">
        <f t="shared" ca="1" si="55"/>
        <v>270</v>
      </c>
    </row>
    <row r="848" spans="1:8" x14ac:dyDescent="0.35">
      <c r="A848">
        <f t="shared" si="52"/>
        <v>1847</v>
      </c>
      <c r="B848" s="2">
        <f t="shared" ca="1" si="53"/>
        <v>45974</v>
      </c>
      <c r="C848" t="str" cm="1">
        <f t="array" aca="1" ref="C848" ca="1">INDEX(Products!$A$2:$A$9,RANDBETWEEN(1,8))</f>
        <v>Third Jersey</v>
      </c>
      <c r="D848" t="str">
        <f ca="1">_xlfn.XLOOKUP(C848,Products!A:A,Products!B:B)</f>
        <v>Jerseys</v>
      </c>
      <c r="E848" t="str" cm="1">
        <f t="array" aca="1" ref="E848" ca="1">INDEX(Regions!$A$2:$A$7,RANDBETWEEN(1,6))</f>
        <v>Limerick</v>
      </c>
      <c r="F848">
        <f t="shared" ca="1" si="54"/>
        <v>4</v>
      </c>
      <c r="G848">
        <f ca="1">VLOOKUP(C848,Products!$A$2:$C$9,3,FALSE)</f>
        <v>85</v>
      </c>
      <c r="H848">
        <f t="shared" ca="1" si="55"/>
        <v>340</v>
      </c>
    </row>
    <row r="849" spans="1:8" x14ac:dyDescent="0.35">
      <c r="A849">
        <f t="shared" si="52"/>
        <v>1848</v>
      </c>
      <c r="B849" s="2">
        <f t="shared" ca="1" si="53"/>
        <v>45443</v>
      </c>
      <c r="C849" t="str" cm="1">
        <f t="array" aca="1" ref="C849" ca="1">INDEX(Products!$A$2:$A$9,RANDBETWEEN(1,8))</f>
        <v>Home Jersey</v>
      </c>
      <c r="D849" t="str">
        <f ca="1">_xlfn.XLOOKUP(C849,Products!A:A,Products!B:B)</f>
        <v>Jerseys</v>
      </c>
      <c r="E849" t="str" cm="1">
        <f t="array" aca="1" ref="E849" ca="1">INDEX(Regions!$A$2:$A$7,RANDBETWEEN(1,6))</f>
        <v>Waterford</v>
      </c>
      <c r="F849">
        <f t="shared" ca="1" si="54"/>
        <v>2</v>
      </c>
      <c r="G849">
        <f ca="1">VLOOKUP(C849,Products!$A$2:$C$9,3,FALSE)</f>
        <v>80</v>
      </c>
      <c r="H849">
        <f t="shared" ca="1" si="55"/>
        <v>160</v>
      </c>
    </row>
    <row r="850" spans="1:8" x14ac:dyDescent="0.35">
      <c r="A850">
        <f t="shared" si="52"/>
        <v>1849</v>
      </c>
      <c r="B850" s="2">
        <f t="shared" ca="1" si="53"/>
        <v>45710</v>
      </c>
      <c r="C850" t="str" cm="1">
        <f t="array" aca="1" ref="C850" ca="1">INDEX(Products!$A$2:$A$9,RANDBETWEEN(1,8))</f>
        <v>Third Jersey</v>
      </c>
      <c r="D850" t="str">
        <f ca="1">_xlfn.XLOOKUP(C850,Products!A:A,Products!B:B)</f>
        <v>Jerseys</v>
      </c>
      <c r="E850" t="str" cm="1">
        <f t="array" aca="1" ref="E850" ca="1">INDEX(Regions!$A$2:$A$7,RANDBETWEEN(1,6))</f>
        <v>Limerick</v>
      </c>
      <c r="F850">
        <f t="shared" ca="1" si="54"/>
        <v>4</v>
      </c>
      <c r="G850">
        <f ca="1">VLOOKUP(C850,Products!$A$2:$C$9,3,FALSE)</f>
        <v>85</v>
      </c>
      <c r="H850">
        <f t="shared" ca="1" si="55"/>
        <v>340</v>
      </c>
    </row>
    <row r="851" spans="1:8" x14ac:dyDescent="0.35">
      <c r="A851">
        <f t="shared" si="52"/>
        <v>1850</v>
      </c>
      <c r="B851" s="2">
        <f t="shared" ca="1" si="53"/>
        <v>45957</v>
      </c>
      <c r="C851" t="str" cm="1">
        <f t="array" aca="1" ref="C851" ca="1">INDEX(Products!$A$2:$A$9,RANDBETWEEN(1,8))</f>
        <v>Training Top</v>
      </c>
      <c r="D851" t="str">
        <f ca="1">_xlfn.XLOOKUP(C851,Products!A:A,Products!B:B)</f>
        <v>Training Wear</v>
      </c>
      <c r="E851" t="str" cm="1">
        <f t="array" aca="1" ref="E851" ca="1">INDEX(Regions!$A$2:$A$7,RANDBETWEEN(1,6))</f>
        <v>Waterford</v>
      </c>
      <c r="F851">
        <f t="shared" ca="1" si="54"/>
        <v>4</v>
      </c>
      <c r="G851">
        <f ca="1">VLOOKUP(C851,Products!$A$2:$C$9,3,FALSE)</f>
        <v>55</v>
      </c>
      <c r="H851">
        <f t="shared" ca="1" si="55"/>
        <v>220</v>
      </c>
    </row>
    <row r="852" spans="1:8" x14ac:dyDescent="0.35">
      <c r="A852">
        <f t="shared" si="52"/>
        <v>1851</v>
      </c>
      <c r="B852" s="2">
        <f t="shared" ca="1" si="53"/>
        <v>45581</v>
      </c>
      <c r="C852" t="str" cm="1">
        <f t="array" aca="1" ref="C852" ca="1">INDEX(Products!$A$2:$A$9,RANDBETWEEN(1,8))</f>
        <v>Hat</v>
      </c>
      <c r="D852" t="str">
        <f ca="1">_xlfn.XLOOKUP(C852,Products!A:A,Products!B:B)</f>
        <v>Accessories</v>
      </c>
      <c r="E852" t="str" cm="1">
        <f t="array" aca="1" ref="E852" ca="1">INDEX(Regions!$A$2:$A$7,RANDBETWEEN(1,6))</f>
        <v>Belfast</v>
      </c>
      <c r="F852">
        <f t="shared" ca="1" si="54"/>
        <v>1</v>
      </c>
      <c r="G852">
        <f ca="1">VLOOKUP(C852,Products!$A$2:$C$9,3,FALSE)</f>
        <v>25</v>
      </c>
      <c r="H852">
        <f t="shared" ca="1" si="55"/>
        <v>25</v>
      </c>
    </row>
    <row r="853" spans="1:8" x14ac:dyDescent="0.35">
      <c r="A853">
        <f t="shared" si="52"/>
        <v>1852</v>
      </c>
      <c r="B853" s="2">
        <f t="shared" ca="1" si="53"/>
        <v>45933</v>
      </c>
      <c r="C853" t="str" cm="1">
        <f t="array" aca="1" ref="C853" ca="1">INDEX(Products!$A$2:$A$9,RANDBETWEEN(1,8))</f>
        <v>Away Jersey</v>
      </c>
      <c r="D853" t="str">
        <f ca="1">_xlfn.XLOOKUP(C853,Products!A:A,Products!B:B)</f>
        <v>Jerseys</v>
      </c>
      <c r="E853" t="str" cm="1">
        <f t="array" aca="1" ref="E853" ca="1">INDEX(Regions!$A$2:$A$7,RANDBETWEEN(1,6))</f>
        <v>Galway</v>
      </c>
      <c r="F853">
        <f t="shared" ca="1" si="54"/>
        <v>1</v>
      </c>
      <c r="G853">
        <f ca="1">VLOOKUP(C853,Products!$A$2:$C$9,3,FALSE)</f>
        <v>80</v>
      </c>
      <c r="H853">
        <f t="shared" ca="1" si="55"/>
        <v>80</v>
      </c>
    </row>
    <row r="854" spans="1:8" x14ac:dyDescent="0.35">
      <c r="A854">
        <f t="shared" si="52"/>
        <v>1853</v>
      </c>
      <c r="B854" s="2">
        <f t="shared" ca="1" si="53"/>
        <v>45886</v>
      </c>
      <c r="C854" t="str" cm="1">
        <f t="array" aca="1" ref="C854" ca="1">INDEX(Products!$A$2:$A$9,RANDBETWEEN(1,8))</f>
        <v>Football</v>
      </c>
      <c r="D854" t="str">
        <f ca="1">_xlfn.XLOOKUP(C854,Products!A:A,Products!B:B)</f>
        <v>Equipment</v>
      </c>
      <c r="E854" t="str" cm="1">
        <f t="array" aca="1" ref="E854" ca="1">INDEX(Regions!$A$2:$A$7,RANDBETWEEN(1,6))</f>
        <v>Cork</v>
      </c>
      <c r="F854">
        <f t="shared" ca="1" si="54"/>
        <v>3</v>
      </c>
      <c r="G854">
        <f ca="1">VLOOKUP(C854,Products!$A$2:$C$9,3,FALSE)</f>
        <v>30</v>
      </c>
      <c r="H854">
        <f t="shared" ca="1" si="55"/>
        <v>90</v>
      </c>
    </row>
    <row r="855" spans="1:8" x14ac:dyDescent="0.35">
      <c r="A855">
        <f t="shared" si="52"/>
        <v>1854</v>
      </c>
      <c r="B855" s="2">
        <f t="shared" ca="1" si="53"/>
        <v>45765</v>
      </c>
      <c r="C855" t="str" cm="1">
        <f t="array" aca="1" ref="C855" ca="1">INDEX(Products!$A$2:$A$9,RANDBETWEEN(1,8))</f>
        <v>Third Jersey</v>
      </c>
      <c r="D855" t="str">
        <f ca="1">_xlfn.XLOOKUP(C855,Products!A:A,Products!B:B)</f>
        <v>Jerseys</v>
      </c>
      <c r="E855" t="str" cm="1">
        <f t="array" aca="1" ref="E855" ca="1">INDEX(Regions!$A$2:$A$7,RANDBETWEEN(1,6))</f>
        <v>Cork</v>
      </c>
      <c r="F855">
        <f t="shared" ca="1" si="54"/>
        <v>5</v>
      </c>
      <c r="G855">
        <f ca="1">VLOOKUP(C855,Products!$A$2:$C$9,3,FALSE)</f>
        <v>85</v>
      </c>
      <c r="H855">
        <f t="shared" ca="1" si="55"/>
        <v>425</v>
      </c>
    </row>
    <row r="856" spans="1:8" x14ac:dyDescent="0.35">
      <c r="A856">
        <f t="shared" si="52"/>
        <v>1855</v>
      </c>
      <c r="B856" s="2">
        <f t="shared" ca="1" si="53"/>
        <v>45412</v>
      </c>
      <c r="C856" t="str" cm="1">
        <f t="array" aca="1" ref="C856" ca="1">INDEX(Products!$A$2:$A$9,RANDBETWEEN(1,8))</f>
        <v>Third Jersey</v>
      </c>
      <c r="D856" t="str">
        <f ca="1">_xlfn.XLOOKUP(C856,Products!A:A,Products!B:B)</f>
        <v>Jerseys</v>
      </c>
      <c r="E856" t="str" cm="1">
        <f t="array" aca="1" ref="E856" ca="1">INDEX(Regions!$A$2:$A$7,RANDBETWEEN(1,6))</f>
        <v>Waterford</v>
      </c>
      <c r="F856">
        <f t="shared" ca="1" si="54"/>
        <v>3</v>
      </c>
      <c r="G856">
        <f ca="1">VLOOKUP(C856,Products!$A$2:$C$9,3,FALSE)</f>
        <v>85</v>
      </c>
      <c r="H856">
        <f t="shared" ca="1" si="55"/>
        <v>255</v>
      </c>
    </row>
    <row r="857" spans="1:8" x14ac:dyDescent="0.35">
      <c r="A857">
        <f t="shared" si="52"/>
        <v>1856</v>
      </c>
      <c r="B857" s="2">
        <f t="shared" ca="1" si="53"/>
        <v>45310</v>
      </c>
      <c r="C857" t="str" cm="1">
        <f t="array" aca="1" ref="C857" ca="1">INDEX(Products!$A$2:$A$9,RANDBETWEEN(1,8))</f>
        <v>Home Jersey</v>
      </c>
      <c r="D857" t="str">
        <f ca="1">_xlfn.XLOOKUP(C857,Products!A:A,Products!B:B)</f>
        <v>Jerseys</v>
      </c>
      <c r="E857" t="str" cm="1">
        <f t="array" aca="1" ref="E857" ca="1">INDEX(Regions!$A$2:$A$7,RANDBETWEEN(1,6))</f>
        <v>Belfast</v>
      </c>
      <c r="F857">
        <f t="shared" ca="1" si="54"/>
        <v>4</v>
      </c>
      <c r="G857">
        <f ca="1">VLOOKUP(C857,Products!$A$2:$C$9,3,FALSE)</f>
        <v>80</v>
      </c>
      <c r="H857">
        <f t="shared" ca="1" si="55"/>
        <v>320</v>
      </c>
    </row>
    <row r="858" spans="1:8" x14ac:dyDescent="0.35">
      <c r="A858">
        <f t="shared" si="52"/>
        <v>1857</v>
      </c>
      <c r="B858" s="2">
        <f t="shared" ca="1" si="53"/>
        <v>45665</v>
      </c>
      <c r="C858" t="str" cm="1">
        <f t="array" aca="1" ref="C858" ca="1">INDEX(Products!$A$2:$A$9,RANDBETWEEN(1,8))</f>
        <v>Football</v>
      </c>
      <c r="D858" t="str">
        <f ca="1">_xlfn.XLOOKUP(C858,Products!A:A,Products!B:B)</f>
        <v>Equipment</v>
      </c>
      <c r="E858" t="str" cm="1">
        <f t="array" aca="1" ref="E858" ca="1">INDEX(Regions!$A$2:$A$7,RANDBETWEEN(1,6))</f>
        <v>Limerick</v>
      </c>
      <c r="F858">
        <f t="shared" ca="1" si="54"/>
        <v>3</v>
      </c>
      <c r="G858">
        <f ca="1">VLOOKUP(C858,Products!$A$2:$C$9,3,FALSE)</f>
        <v>30</v>
      </c>
      <c r="H858">
        <f t="shared" ca="1" si="55"/>
        <v>90</v>
      </c>
    </row>
    <row r="859" spans="1:8" x14ac:dyDescent="0.35">
      <c r="A859">
        <f t="shared" si="52"/>
        <v>1858</v>
      </c>
      <c r="B859" s="2">
        <f t="shared" ca="1" si="53"/>
        <v>45775</v>
      </c>
      <c r="C859" t="str" cm="1">
        <f t="array" aca="1" ref="C859" ca="1">INDEX(Products!$A$2:$A$9,RANDBETWEEN(1,8))</f>
        <v>Jacket</v>
      </c>
      <c r="D859" t="str">
        <f ca="1">_xlfn.XLOOKUP(C859,Products!A:A,Products!B:B)</f>
        <v>Training Wear</v>
      </c>
      <c r="E859" t="str" cm="1">
        <f t="array" aca="1" ref="E859" ca="1">INDEX(Regions!$A$2:$A$7,RANDBETWEEN(1,6))</f>
        <v>Limerick</v>
      </c>
      <c r="F859">
        <f t="shared" ca="1" si="54"/>
        <v>2</v>
      </c>
      <c r="G859">
        <f ca="1">VLOOKUP(C859,Products!$A$2:$C$9,3,FALSE)</f>
        <v>90</v>
      </c>
      <c r="H859">
        <f t="shared" ca="1" si="55"/>
        <v>180</v>
      </c>
    </row>
    <row r="860" spans="1:8" x14ac:dyDescent="0.35">
      <c r="A860">
        <f t="shared" si="52"/>
        <v>1859</v>
      </c>
      <c r="B860" s="2">
        <f t="shared" ca="1" si="53"/>
        <v>45521</v>
      </c>
      <c r="C860" t="str" cm="1">
        <f t="array" aca="1" ref="C860" ca="1">INDEX(Products!$A$2:$A$9,RANDBETWEEN(1,8))</f>
        <v>Third Jersey</v>
      </c>
      <c r="D860" t="str">
        <f ca="1">_xlfn.XLOOKUP(C860,Products!A:A,Products!B:B)</f>
        <v>Jerseys</v>
      </c>
      <c r="E860" t="str" cm="1">
        <f t="array" aca="1" ref="E860" ca="1">INDEX(Regions!$A$2:$A$7,RANDBETWEEN(1,6))</f>
        <v>Galway</v>
      </c>
      <c r="F860">
        <f t="shared" ca="1" si="54"/>
        <v>1</v>
      </c>
      <c r="G860">
        <f ca="1">VLOOKUP(C860,Products!$A$2:$C$9,3,FALSE)</f>
        <v>85</v>
      </c>
      <c r="H860">
        <f t="shared" ca="1" si="55"/>
        <v>85</v>
      </c>
    </row>
    <row r="861" spans="1:8" x14ac:dyDescent="0.35">
      <c r="A861">
        <f t="shared" si="52"/>
        <v>1860</v>
      </c>
      <c r="B861" s="2">
        <f t="shared" ca="1" si="53"/>
        <v>45851</v>
      </c>
      <c r="C861" t="str" cm="1">
        <f t="array" aca="1" ref="C861" ca="1">INDEX(Products!$A$2:$A$9,RANDBETWEEN(1,8))</f>
        <v>Third Jersey</v>
      </c>
      <c r="D861" t="str">
        <f ca="1">_xlfn.XLOOKUP(C861,Products!A:A,Products!B:B)</f>
        <v>Jerseys</v>
      </c>
      <c r="E861" t="str" cm="1">
        <f t="array" aca="1" ref="E861" ca="1">INDEX(Regions!$A$2:$A$7,RANDBETWEEN(1,6))</f>
        <v>Belfast</v>
      </c>
      <c r="F861">
        <f t="shared" ca="1" si="54"/>
        <v>2</v>
      </c>
      <c r="G861">
        <f ca="1">VLOOKUP(C861,Products!$A$2:$C$9,3,FALSE)</f>
        <v>85</v>
      </c>
      <c r="H861">
        <f t="shared" ca="1" si="55"/>
        <v>170</v>
      </c>
    </row>
    <row r="862" spans="1:8" x14ac:dyDescent="0.35">
      <c r="A862">
        <f t="shared" si="52"/>
        <v>1861</v>
      </c>
      <c r="B862" s="2">
        <f t="shared" ca="1" si="53"/>
        <v>45781</v>
      </c>
      <c r="C862" t="str" cm="1">
        <f t="array" aca="1" ref="C862" ca="1">INDEX(Products!$A$2:$A$9,RANDBETWEEN(1,8))</f>
        <v>Football</v>
      </c>
      <c r="D862" t="str">
        <f ca="1">_xlfn.XLOOKUP(C862,Products!A:A,Products!B:B)</f>
        <v>Equipment</v>
      </c>
      <c r="E862" t="str" cm="1">
        <f t="array" aca="1" ref="E862" ca="1">INDEX(Regions!$A$2:$A$7,RANDBETWEEN(1,6))</f>
        <v>Waterford</v>
      </c>
      <c r="F862">
        <f t="shared" ca="1" si="54"/>
        <v>4</v>
      </c>
      <c r="G862">
        <f ca="1">VLOOKUP(C862,Products!$A$2:$C$9,3,FALSE)</f>
        <v>30</v>
      </c>
      <c r="H862">
        <f t="shared" ca="1" si="55"/>
        <v>120</v>
      </c>
    </row>
    <row r="863" spans="1:8" x14ac:dyDescent="0.35">
      <c r="A863">
        <f t="shared" si="52"/>
        <v>1862</v>
      </c>
      <c r="B863" s="2">
        <f t="shared" ca="1" si="53"/>
        <v>46004</v>
      </c>
      <c r="C863" t="str" cm="1">
        <f t="array" aca="1" ref="C863" ca="1">INDEX(Products!$A$2:$A$9,RANDBETWEEN(1,8))</f>
        <v>Training Top</v>
      </c>
      <c r="D863" t="str">
        <f ca="1">_xlfn.XLOOKUP(C863,Products!A:A,Products!B:B)</f>
        <v>Training Wear</v>
      </c>
      <c r="E863" t="str" cm="1">
        <f t="array" aca="1" ref="E863" ca="1">INDEX(Regions!$A$2:$A$7,RANDBETWEEN(1,6))</f>
        <v>Galway</v>
      </c>
      <c r="F863">
        <f t="shared" ca="1" si="54"/>
        <v>3</v>
      </c>
      <c r="G863">
        <f ca="1">VLOOKUP(C863,Products!$A$2:$C$9,3,FALSE)</f>
        <v>55</v>
      </c>
      <c r="H863">
        <f t="shared" ca="1" si="55"/>
        <v>165</v>
      </c>
    </row>
    <row r="864" spans="1:8" x14ac:dyDescent="0.35">
      <c r="A864">
        <f t="shared" si="52"/>
        <v>1863</v>
      </c>
      <c r="B864" s="2">
        <f t="shared" ca="1" si="53"/>
        <v>46009</v>
      </c>
      <c r="C864" t="str" cm="1">
        <f t="array" aca="1" ref="C864" ca="1">INDEX(Products!$A$2:$A$9,RANDBETWEEN(1,8))</f>
        <v>Football</v>
      </c>
      <c r="D864" t="str">
        <f ca="1">_xlfn.XLOOKUP(C864,Products!A:A,Products!B:B)</f>
        <v>Equipment</v>
      </c>
      <c r="E864" t="str" cm="1">
        <f t="array" aca="1" ref="E864" ca="1">INDEX(Regions!$A$2:$A$7,RANDBETWEEN(1,6))</f>
        <v>Limerick</v>
      </c>
      <c r="F864">
        <f t="shared" ca="1" si="54"/>
        <v>4</v>
      </c>
      <c r="G864">
        <f ca="1">VLOOKUP(C864,Products!$A$2:$C$9,3,FALSE)</f>
        <v>30</v>
      </c>
      <c r="H864">
        <f t="shared" ca="1" si="55"/>
        <v>120</v>
      </c>
    </row>
    <row r="865" spans="1:8" x14ac:dyDescent="0.35">
      <c r="A865">
        <f t="shared" si="52"/>
        <v>1864</v>
      </c>
      <c r="B865" s="2">
        <f t="shared" ca="1" si="53"/>
        <v>45802</v>
      </c>
      <c r="C865" t="str" cm="1">
        <f t="array" aca="1" ref="C865" ca="1">INDEX(Products!$A$2:$A$9,RANDBETWEEN(1,8))</f>
        <v>Third Jersey</v>
      </c>
      <c r="D865" t="str">
        <f ca="1">_xlfn.XLOOKUP(C865,Products!A:A,Products!B:B)</f>
        <v>Jerseys</v>
      </c>
      <c r="E865" t="str" cm="1">
        <f t="array" aca="1" ref="E865" ca="1">INDEX(Regions!$A$2:$A$7,RANDBETWEEN(1,6))</f>
        <v>Cork</v>
      </c>
      <c r="F865">
        <f t="shared" ca="1" si="54"/>
        <v>1</v>
      </c>
      <c r="G865">
        <f ca="1">VLOOKUP(C865,Products!$A$2:$C$9,3,FALSE)</f>
        <v>85</v>
      </c>
      <c r="H865">
        <f t="shared" ca="1" si="55"/>
        <v>85</v>
      </c>
    </row>
    <row r="866" spans="1:8" x14ac:dyDescent="0.35">
      <c r="A866">
        <f t="shared" si="52"/>
        <v>1865</v>
      </c>
      <c r="B866" s="2">
        <f t="shared" ca="1" si="53"/>
        <v>45733</v>
      </c>
      <c r="C866" t="str" cm="1">
        <f t="array" aca="1" ref="C866" ca="1">INDEX(Products!$A$2:$A$9,RANDBETWEEN(1,8))</f>
        <v>Football</v>
      </c>
      <c r="D866" t="str">
        <f ca="1">_xlfn.XLOOKUP(C866,Products!A:A,Products!B:B)</f>
        <v>Equipment</v>
      </c>
      <c r="E866" t="str" cm="1">
        <f t="array" aca="1" ref="E866" ca="1">INDEX(Regions!$A$2:$A$7,RANDBETWEEN(1,6))</f>
        <v>Waterford</v>
      </c>
      <c r="F866">
        <f t="shared" ca="1" si="54"/>
        <v>4</v>
      </c>
      <c r="G866">
        <f ca="1">VLOOKUP(C866,Products!$A$2:$C$9,3,FALSE)</f>
        <v>30</v>
      </c>
      <c r="H866">
        <f t="shared" ca="1" si="55"/>
        <v>120</v>
      </c>
    </row>
    <row r="867" spans="1:8" x14ac:dyDescent="0.35">
      <c r="A867">
        <f t="shared" si="52"/>
        <v>1866</v>
      </c>
      <c r="B867" s="2">
        <f t="shared" ca="1" si="53"/>
        <v>45767</v>
      </c>
      <c r="C867" t="str" cm="1">
        <f t="array" aca="1" ref="C867" ca="1">INDEX(Products!$A$2:$A$9,RANDBETWEEN(1,8))</f>
        <v>Away Jersey</v>
      </c>
      <c r="D867" t="str">
        <f ca="1">_xlfn.XLOOKUP(C867,Products!A:A,Products!B:B)</f>
        <v>Jerseys</v>
      </c>
      <c r="E867" t="str" cm="1">
        <f t="array" aca="1" ref="E867" ca="1">INDEX(Regions!$A$2:$A$7,RANDBETWEEN(1,6))</f>
        <v>Galway</v>
      </c>
      <c r="F867">
        <f t="shared" ca="1" si="54"/>
        <v>5</v>
      </c>
      <c r="G867">
        <f ca="1">VLOOKUP(C867,Products!$A$2:$C$9,3,FALSE)</f>
        <v>80</v>
      </c>
      <c r="H867">
        <f t="shared" ca="1" si="55"/>
        <v>400</v>
      </c>
    </row>
    <row r="868" spans="1:8" x14ac:dyDescent="0.35">
      <c r="A868">
        <f t="shared" si="52"/>
        <v>1867</v>
      </c>
      <c r="B868" s="2">
        <f t="shared" ca="1" si="53"/>
        <v>45887</v>
      </c>
      <c r="C868" t="str" cm="1">
        <f t="array" aca="1" ref="C868" ca="1">INDEX(Products!$A$2:$A$9,RANDBETWEEN(1,8))</f>
        <v>Training Top</v>
      </c>
      <c r="D868" t="str">
        <f ca="1">_xlfn.XLOOKUP(C868,Products!A:A,Products!B:B)</f>
        <v>Training Wear</v>
      </c>
      <c r="E868" t="str" cm="1">
        <f t="array" aca="1" ref="E868" ca="1">INDEX(Regions!$A$2:$A$7,RANDBETWEEN(1,6))</f>
        <v>Limerick</v>
      </c>
      <c r="F868">
        <f t="shared" ca="1" si="54"/>
        <v>5</v>
      </c>
      <c r="G868">
        <f ca="1">VLOOKUP(C868,Products!$A$2:$C$9,3,FALSE)</f>
        <v>55</v>
      </c>
      <c r="H868">
        <f t="shared" ca="1" si="55"/>
        <v>275</v>
      </c>
    </row>
    <row r="869" spans="1:8" x14ac:dyDescent="0.35">
      <c r="A869">
        <f t="shared" si="52"/>
        <v>1868</v>
      </c>
      <c r="B869" s="2">
        <f t="shared" ca="1" si="53"/>
        <v>45319</v>
      </c>
      <c r="C869" t="str" cm="1">
        <f t="array" aca="1" ref="C869" ca="1">INDEX(Products!$A$2:$A$9,RANDBETWEEN(1,8))</f>
        <v>Training Top</v>
      </c>
      <c r="D869" t="str">
        <f ca="1">_xlfn.XLOOKUP(C869,Products!A:A,Products!B:B)</f>
        <v>Training Wear</v>
      </c>
      <c r="E869" t="str" cm="1">
        <f t="array" aca="1" ref="E869" ca="1">INDEX(Regions!$A$2:$A$7,RANDBETWEEN(1,6))</f>
        <v>Cork</v>
      </c>
      <c r="F869">
        <f t="shared" ca="1" si="54"/>
        <v>4</v>
      </c>
      <c r="G869">
        <f ca="1">VLOOKUP(C869,Products!$A$2:$C$9,3,FALSE)</f>
        <v>55</v>
      </c>
      <c r="H869">
        <f t="shared" ca="1" si="55"/>
        <v>220</v>
      </c>
    </row>
    <row r="870" spans="1:8" x14ac:dyDescent="0.35">
      <c r="A870">
        <f t="shared" si="52"/>
        <v>1869</v>
      </c>
      <c r="B870" s="2">
        <f t="shared" ca="1" si="53"/>
        <v>45984</v>
      </c>
      <c r="C870" t="str" cm="1">
        <f t="array" aca="1" ref="C870" ca="1">INDEX(Products!$A$2:$A$9,RANDBETWEEN(1,8))</f>
        <v>Scarf</v>
      </c>
      <c r="D870" t="str">
        <f ca="1">_xlfn.XLOOKUP(C870,Products!A:A,Products!B:B)</f>
        <v>Accessories</v>
      </c>
      <c r="E870" t="str" cm="1">
        <f t="array" aca="1" ref="E870" ca="1">INDEX(Regions!$A$2:$A$7,RANDBETWEEN(1,6))</f>
        <v>Waterford</v>
      </c>
      <c r="F870">
        <f t="shared" ca="1" si="54"/>
        <v>5</v>
      </c>
      <c r="G870">
        <f ca="1">VLOOKUP(C870,Products!$A$2:$C$9,3,FALSE)</f>
        <v>20</v>
      </c>
      <c r="H870">
        <f t="shared" ca="1" si="55"/>
        <v>100</v>
      </c>
    </row>
    <row r="871" spans="1:8" x14ac:dyDescent="0.35">
      <c r="A871">
        <f t="shared" si="52"/>
        <v>1870</v>
      </c>
      <c r="B871" s="2">
        <f t="shared" ca="1" si="53"/>
        <v>45694</v>
      </c>
      <c r="C871" t="str" cm="1">
        <f t="array" aca="1" ref="C871" ca="1">INDEX(Products!$A$2:$A$9,RANDBETWEEN(1,8))</f>
        <v>Third Jersey</v>
      </c>
      <c r="D871" t="str">
        <f ca="1">_xlfn.XLOOKUP(C871,Products!A:A,Products!B:B)</f>
        <v>Jerseys</v>
      </c>
      <c r="E871" t="str" cm="1">
        <f t="array" aca="1" ref="E871" ca="1">INDEX(Regions!$A$2:$A$7,RANDBETWEEN(1,6))</f>
        <v>Waterford</v>
      </c>
      <c r="F871">
        <f t="shared" ca="1" si="54"/>
        <v>3</v>
      </c>
      <c r="G871">
        <f ca="1">VLOOKUP(C871,Products!$A$2:$C$9,3,FALSE)</f>
        <v>85</v>
      </c>
      <c r="H871">
        <f t="shared" ca="1" si="55"/>
        <v>255</v>
      </c>
    </row>
    <row r="872" spans="1:8" x14ac:dyDescent="0.35">
      <c r="A872">
        <f t="shared" si="52"/>
        <v>1871</v>
      </c>
      <c r="B872" s="2">
        <f t="shared" ca="1" si="53"/>
        <v>45602</v>
      </c>
      <c r="C872" t="str" cm="1">
        <f t="array" aca="1" ref="C872" ca="1">INDEX(Products!$A$2:$A$9,RANDBETWEEN(1,8))</f>
        <v>Home Jersey</v>
      </c>
      <c r="D872" t="str">
        <f ca="1">_xlfn.XLOOKUP(C872,Products!A:A,Products!B:B)</f>
        <v>Jerseys</v>
      </c>
      <c r="E872" t="str" cm="1">
        <f t="array" aca="1" ref="E872" ca="1">INDEX(Regions!$A$2:$A$7,RANDBETWEEN(1,6))</f>
        <v>Cork</v>
      </c>
      <c r="F872">
        <f t="shared" ca="1" si="54"/>
        <v>1</v>
      </c>
      <c r="G872">
        <f ca="1">VLOOKUP(C872,Products!$A$2:$C$9,3,FALSE)</f>
        <v>80</v>
      </c>
      <c r="H872">
        <f t="shared" ca="1" si="55"/>
        <v>80</v>
      </c>
    </row>
    <row r="873" spans="1:8" x14ac:dyDescent="0.35">
      <c r="A873">
        <f t="shared" si="52"/>
        <v>1872</v>
      </c>
      <c r="B873" s="2">
        <f t="shared" ca="1" si="53"/>
        <v>45711</v>
      </c>
      <c r="C873" t="str" cm="1">
        <f t="array" aca="1" ref="C873" ca="1">INDEX(Products!$A$2:$A$9,RANDBETWEEN(1,8))</f>
        <v>Third Jersey</v>
      </c>
      <c r="D873" t="str">
        <f ca="1">_xlfn.XLOOKUP(C873,Products!A:A,Products!B:B)</f>
        <v>Jerseys</v>
      </c>
      <c r="E873" t="str" cm="1">
        <f t="array" aca="1" ref="E873" ca="1">INDEX(Regions!$A$2:$A$7,RANDBETWEEN(1,6))</f>
        <v>Belfast</v>
      </c>
      <c r="F873">
        <f t="shared" ca="1" si="54"/>
        <v>1</v>
      </c>
      <c r="G873">
        <f ca="1">VLOOKUP(C873,Products!$A$2:$C$9,3,FALSE)</f>
        <v>85</v>
      </c>
      <c r="H873">
        <f t="shared" ca="1" si="55"/>
        <v>85</v>
      </c>
    </row>
    <row r="874" spans="1:8" x14ac:dyDescent="0.35">
      <c r="A874">
        <f t="shared" si="52"/>
        <v>1873</v>
      </c>
      <c r="B874" s="2">
        <f t="shared" ca="1" si="53"/>
        <v>45591</v>
      </c>
      <c r="C874" t="str" cm="1">
        <f t="array" aca="1" ref="C874" ca="1">INDEX(Products!$A$2:$A$9,RANDBETWEEN(1,8))</f>
        <v>Jacket</v>
      </c>
      <c r="D874" t="str">
        <f ca="1">_xlfn.XLOOKUP(C874,Products!A:A,Products!B:B)</f>
        <v>Training Wear</v>
      </c>
      <c r="E874" t="str" cm="1">
        <f t="array" aca="1" ref="E874" ca="1">INDEX(Regions!$A$2:$A$7,RANDBETWEEN(1,6))</f>
        <v>Dublin</v>
      </c>
      <c r="F874">
        <f t="shared" ca="1" si="54"/>
        <v>5</v>
      </c>
      <c r="G874">
        <f ca="1">VLOOKUP(C874,Products!$A$2:$C$9,3,FALSE)</f>
        <v>90</v>
      </c>
      <c r="H874">
        <f t="shared" ca="1" si="55"/>
        <v>450</v>
      </c>
    </row>
    <row r="875" spans="1:8" x14ac:dyDescent="0.35">
      <c r="A875">
        <f t="shared" si="52"/>
        <v>1874</v>
      </c>
      <c r="B875" s="2">
        <f t="shared" ca="1" si="53"/>
        <v>45954</v>
      </c>
      <c r="C875" t="str" cm="1">
        <f t="array" aca="1" ref="C875" ca="1">INDEX(Products!$A$2:$A$9,RANDBETWEEN(1,8))</f>
        <v>Third Jersey</v>
      </c>
      <c r="D875" t="str">
        <f ca="1">_xlfn.XLOOKUP(C875,Products!A:A,Products!B:B)</f>
        <v>Jerseys</v>
      </c>
      <c r="E875" t="str" cm="1">
        <f t="array" aca="1" ref="E875" ca="1">INDEX(Regions!$A$2:$A$7,RANDBETWEEN(1,6))</f>
        <v>Cork</v>
      </c>
      <c r="F875">
        <f t="shared" ca="1" si="54"/>
        <v>1</v>
      </c>
      <c r="G875">
        <f ca="1">VLOOKUP(C875,Products!$A$2:$C$9,3,FALSE)</f>
        <v>85</v>
      </c>
      <c r="H875">
        <f t="shared" ca="1" si="55"/>
        <v>85</v>
      </c>
    </row>
    <row r="876" spans="1:8" x14ac:dyDescent="0.35">
      <c r="A876">
        <f t="shared" si="52"/>
        <v>1875</v>
      </c>
      <c r="B876" s="2">
        <f t="shared" ca="1" si="53"/>
        <v>46012</v>
      </c>
      <c r="C876" t="str" cm="1">
        <f t="array" aca="1" ref="C876" ca="1">INDEX(Products!$A$2:$A$9,RANDBETWEEN(1,8))</f>
        <v>Scarf</v>
      </c>
      <c r="D876" t="str">
        <f ca="1">_xlfn.XLOOKUP(C876,Products!A:A,Products!B:B)</f>
        <v>Accessories</v>
      </c>
      <c r="E876" t="str" cm="1">
        <f t="array" aca="1" ref="E876" ca="1">INDEX(Regions!$A$2:$A$7,RANDBETWEEN(1,6))</f>
        <v>Waterford</v>
      </c>
      <c r="F876">
        <f t="shared" ca="1" si="54"/>
        <v>3</v>
      </c>
      <c r="G876">
        <f ca="1">VLOOKUP(C876,Products!$A$2:$C$9,3,FALSE)</f>
        <v>20</v>
      </c>
      <c r="H876">
        <f t="shared" ca="1" si="55"/>
        <v>60</v>
      </c>
    </row>
    <row r="877" spans="1:8" x14ac:dyDescent="0.35">
      <c r="A877">
        <f t="shared" si="52"/>
        <v>1876</v>
      </c>
      <c r="B877" s="2">
        <f t="shared" ca="1" si="53"/>
        <v>45701</v>
      </c>
      <c r="C877" t="str" cm="1">
        <f t="array" aca="1" ref="C877" ca="1">INDEX(Products!$A$2:$A$9,RANDBETWEEN(1,8))</f>
        <v>Away Jersey</v>
      </c>
      <c r="D877" t="str">
        <f ca="1">_xlfn.XLOOKUP(C877,Products!A:A,Products!B:B)</f>
        <v>Jerseys</v>
      </c>
      <c r="E877" t="str" cm="1">
        <f t="array" aca="1" ref="E877" ca="1">INDEX(Regions!$A$2:$A$7,RANDBETWEEN(1,6))</f>
        <v>Waterford</v>
      </c>
      <c r="F877">
        <f t="shared" ca="1" si="54"/>
        <v>2</v>
      </c>
      <c r="G877">
        <f ca="1">VLOOKUP(C877,Products!$A$2:$C$9,3,FALSE)</f>
        <v>80</v>
      </c>
      <c r="H877">
        <f t="shared" ca="1" si="55"/>
        <v>160</v>
      </c>
    </row>
    <row r="878" spans="1:8" x14ac:dyDescent="0.35">
      <c r="A878">
        <f t="shared" si="52"/>
        <v>1877</v>
      </c>
      <c r="B878" s="2">
        <f t="shared" ca="1" si="53"/>
        <v>45451</v>
      </c>
      <c r="C878" t="str" cm="1">
        <f t="array" aca="1" ref="C878" ca="1">INDEX(Products!$A$2:$A$9,RANDBETWEEN(1,8))</f>
        <v>Jacket</v>
      </c>
      <c r="D878" t="str">
        <f ca="1">_xlfn.XLOOKUP(C878,Products!A:A,Products!B:B)</f>
        <v>Training Wear</v>
      </c>
      <c r="E878" t="str" cm="1">
        <f t="array" aca="1" ref="E878" ca="1">INDEX(Regions!$A$2:$A$7,RANDBETWEEN(1,6))</f>
        <v>Dublin</v>
      </c>
      <c r="F878">
        <f t="shared" ca="1" si="54"/>
        <v>5</v>
      </c>
      <c r="G878">
        <f ca="1">VLOOKUP(C878,Products!$A$2:$C$9,3,FALSE)</f>
        <v>90</v>
      </c>
      <c r="H878">
        <f t="shared" ca="1" si="55"/>
        <v>450</v>
      </c>
    </row>
    <row r="879" spans="1:8" x14ac:dyDescent="0.35">
      <c r="A879">
        <f t="shared" si="52"/>
        <v>1878</v>
      </c>
      <c r="B879" s="2">
        <f t="shared" ca="1" si="53"/>
        <v>45928</v>
      </c>
      <c r="C879" t="str" cm="1">
        <f t="array" aca="1" ref="C879" ca="1">INDEX(Products!$A$2:$A$9,RANDBETWEEN(1,8))</f>
        <v>Jacket</v>
      </c>
      <c r="D879" t="str">
        <f ca="1">_xlfn.XLOOKUP(C879,Products!A:A,Products!B:B)</f>
        <v>Training Wear</v>
      </c>
      <c r="E879" t="str" cm="1">
        <f t="array" aca="1" ref="E879" ca="1">INDEX(Regions!$A$2:$A$7,RANDBETWEEN(1,6))</f>
        <v>Cork</v>
      </c>
      <c r="F879">
        <f t="shared" ca="1" si="54"/>
        <v>1</v>
      </c>
      <c r="G879">
        <f ca="1">VLOOKUP(C879,Products!$A$2:$C$9,3,FALSE)</f>
        <v>90</v>
      </c>
      <c r="H879">
        <f t="shared" ca="1" si="55"/>
        <v>90</v>
      </c>
    </row>
    <row r="880" spans="1:8" x14ac:dyDescent="0.35">
      <c r="A880">
        <f t="shared" si="52"/>
        <v>1879</v>
      </c>
      <c r="B880" s="2">
        <f t="shared" ca="1" si="53"/>
        <v>45512</v>
      </c>
      <c r="C880" t="str" cm="1">
        <f t="array" aca="1" ref="C880" ca="1">INDEX(Products!$A$2:$A$9,RANDBETWEEN(1,8))</f>
        <v>Third Jersey</v>
      </c>
      <c r="D880" t="str">
        <f ca="1">_xlfn.XLOOKUP(C880,Products!A:A,Products!B:B)</f>
        <v>Jerseys</v>
      </c>
      <c r="E880" t="str" cm="1">
        <f t="array" aca="1" ref="E880" ca="1">INDEX(Regions!$A$2:$A$7,RANDBETWEEN(1,6))</f>
        <v>Limerick</v>
      </c>
      <c r="F880">
        <f t="shared" ca="1" si="54"/>
        <v>2</v>
      </c>
      <c r="G880">
        <f ca="1">VLOOKUP(C880,Products!$A$2:$C$9,3,FALSE)</f>
        <v>85</v>
      </c>
      <c r="H880">
        <f t="shared" ca="1" si="55"/>
        <v>170</v>
      </c>
    </row>
    <row r="881" spans="1:8" x14ac:dyDescent="0.35">
      <c r="A881">
        <f t="shared" si="52"/>
        <v>1880</v>
      </c>
      <c r="B881" s="2">
        <f t="shared" ca="1" si="53"/>
        <v>45733</v>
      </c>
      <c r="C881" t="str" cm="1">
        <f t="array" aca="1" ref="C881" ca="1">INDEX(Products!$A$2:$A$9,RANDBETWEEN(1,8))</f>
        <v>Home Jersey</v>
      </c>
      <c r="D881" t="str">
        <f ca="1">_xlfn.XLOOKUP(C881,Products!A:A,Products!B:B)</f>
        <v>Jerseys</v>
      </c>
      <c r="E881" t="str" cm="1">
        <f t="array" aca="1" ref="E881" ca="1">INDEX(Regions!$A$2:$A$7,RANDBETWEEN(1,6))</f>
        <v>Belfast</v>
      </c>
      <c r="F881">
        <f t="shared" ca="1" si="54"/>
        <v>2</v>
      </c>
      <c r="G881">
        <f ca="1">VLOOKUP(C881,Products!$A$2:$C$9,3,FALSE)</f>
        <v>80</v>
      </c>
      <c r="H881">
        <f t="shared" ca="1" si="55"/>
        <v>160</v>
      </c>
    </row>
    <row r="882" spans="1:8" x14ac:dyDescent="0.35">
      <c r="A882">
        <f t="shared" si="52"/>
        <v>1881</v>
      </c>
      <c r="B882" s="2">
        <f t="shared" ca="1" si="53"/>
        <v>45461</v>
      </c>
      <c r="C882" t="str" cm="1">
        <f t="array" aca="1" ref="C882" ca="1">INDEX(Products!$A$2:$A$9,RANDBETWEEN(1,8))</f>
        <v>Football</v>
      </c>
      <c r="D882" t="str">
        <f ca="1">_xlfn.XLOOKUP(C882,Products!A:A,Products!B:B)</f>
        <v>Equipment</v>
      </c>
      <c r="E882" t="str" cm="1">
        <f t="array" aca="1" ref="E882" ca="1">INDEX(Regions!$A$2:$A$7,RANDBETWEEN(1,6))</f>
        <v>Cork</v>
      </c>
      <c r="F882">
        <f t="shared" ca="1" si="54"/>
        <v>3</v>
      </c>
      <c r="G882">
        <f ca="1">VLOOKUP(C882,Products!$A$2:$C$9,3,FALSE)</f>
        <v>30</v>
      </c>
      <c r="H882">
        <f t="shared" ca="1" si="55"/>
        <v>90</v>
      </c>
    </row>
    <row r="883" spans="1:8" x14ac:dyDescent="0.35">
      <c r="A883">
        <f t="shared" si="52"/>
        <v>1882</v>
      </c>
      <c r="B883" s="2">
        <f t="shared" ca="1" si="53"/>
        <v>45708</v>
      </c>
      <c r="C883" t="str" cm="1">
        <f t="array" aca="1" ref="C883" ca="1">INDEX(Products!$A$2:$A$9,RANDBETWEEN(1,8))</f>
        <v>Scarf</v>
      </c>
      <c r="D883" t="str">
        <f ca="1">_xlfn.XLOOKUP(C883,Products!A:A,Products!B:B)</f>
        <v>Accessories</v>
      </c>
      <c r="E883" t="str" cm="1">
        <f t="array" aca="1" ref="E883" ca="1">INDEX(Regions!$A$2:$A$7,RANDBETWEEN(1,6))</f>
        <v>Waterford</v>
      </c>
      <c r="F883">
        <f t="shared" ca="1" si="54"/>
        <v>1</v>
      </c>
      <c r="G883">
        <f ca="1">VLOOKUP(C883,Products!$A$2:$C$9,3,FALSE)</f>
        <v>20</v>
      </c>
      <c r="H883">
        <f t="shared" ca="1" si="55"/>
        <v>20</v>
      </c>
    </row>
    <row r="884" spans="1:8" x14ac:dyDescent="0.35">
      <c r="A884">
        <f t="shared" si="52"/>
        <v>1883</v>
      </c>
      <c r="B884" s="2">
        <f t="shared" ca="1" si="53"/>
        <v>45537</v>
      </c>
      <c r="C884" t="str" cm="1">
        <f t="array" aca="1" ref="C884" ca="1">INDEX(Products!$A$2:$A$9,RANDBETWEEN(1,8))</f>
        <v>Away Jersey</v>
      </c>
      <c r="D884" t="str">
        <f ca="1">_xlfn.XLOOKUP(C884,Products!A:A,Products!B:B)</f>
        <v>Jerseys</v>
      </c>
      <c r="E884" t="str" cm="1">
        <f t="array" aca="1" ref="E884" ca="1">INDEX(Regions!$A$2:$A$7,RANDBETWEEN(1,6))</f>
        <v>Limerick</v>
      </c>
      <c r="F884">
        <f t="shared" ca="1" si="54"/>
        <v>3</v>
      </c>
      <c r="G884">
        <f ca="1">VLOOKUP(C884,Products!$A$2:$C$9,3,FALSE)</f>
        <v>80</v>
      </c>
      <c r="H884">
        <f t="shared" ca="1" si="55"/>
        <v>240</v>
      </c>
    </row>
    <row r="885" spans="1:8" x14ac:dyDescent="0.35">
      <c r="A885">
        <f t="shared" si="52"/>
        <v>1884</v>
      </c>
      <c r="B885" s="2">
        <f t="shared" ca="1" si="53"/>
        <v>45721</v>
      </c>
      <c r="C885" t="str" cm="1">
        <f t="array" aca="1" ref="C885" ca="1">INDEX(Products!$A$2:$A$9,RANDBETWEEN(1,8))</f>
        <v>Scarf</v>
      </c>
      <c r="D885" t="str">
        <f ca="1">_xlfn.XLOOKUP(C885,Products!A:A,Products!B:B)</f>
        <v>Accessories</v>
      </c>
      <c r="E885" t="str" cm="1">
        <f t="array" aca="1" ref="E885" ca="1">INDEX(Regions!$A$2:$A$7,RANDBETWEEN(1,6))</f>
        <v>Belfast</v>
      </c>
      <c r="F885">
        <f t="shared" ca="1" si="54"/>
        <v>4</v>
      </c>
      <c r="G885">
        <f ca="1">VLOOKUP(C885,Products!$A$2:$C$9,3,FALSE)</f>
        <v>20</v>
      </c>
      <c r="H885">
        <f t="shared" ca="1" si="55"/>
        <v>80</v>
      </c>
    </row>
    <row r="886" spans="1:8" x14ac:dyDescent="0.35">
      <c r="A886">
        <f t="shared" si="52"/>
        <v>1885</v>
      </c>
      <c r="B886" s="2">
        <f t="shared" ca="1" si="53"/>
        <v>45632</v>
      </c>
      <c r="C886" t="str" cm="1">
        <f t="array" aca="1" ref="C886" ca="1">INDEX(Products!$A$2:$A$9,RANDBETWEEN(1,8))</f>
        <v>Scarf</v>
      </c>
      <c r="D886" t="str">
        <f ca="1">_xlfn.XLOOKUP(C886,Products!A:A,Products!B:B)</f>
        <v>Accessories</v>
      </c>
      <c r="E886" t="str" cm="1">
        <f t="array" aca="1" ref="E886" ca="1">INDEX(Regions!$A$2:$A$7,RANDBETWEEN(1,6))</f>
        <v>Belfast</v>
      </c>
      <c r="F886">
        <f t="shared" ca="1" si="54"/>
        <v>1</v>
      </c>
      <c r="G886">
        <f ca="1">VLOOKUP(C886,Products!$A$2:$C$9,3,FALSE)</f>
        <v>20</v>
      </c>
      <c r="H886">
        <f t="shared" ca="1" si="55"/>
        <v>20</v>
      </c>
    </row>
    <row r="887" spans="1:8" x14ac:dyDescent="0.35">
      <c r="A887">
        <f t="shared" si="52"/>
        <v>1886</v>
      </c>
      <c r="B887" s="2">
        <f t="shared" ca="1" si="53"/>
        <v>45592</v>
      </c>
      <c r="C887" t="str" cm="1">
        <f t="array" aca="1" ref="C887" ca="1">INDEX(Products!$A$2:$A$9,RANDBETWEEN(1,8))</f>
        <v>Away Jersey</v>
      </c>
      <c r="D887" t="str">
        <f ca="1">_xlfn.XLOOKUP(C887,Products!A:A,Products!B:B)</f>
        <v>Jerseys</v>
      </c>
      <c r="E887" t="str" cm="1">
        <f t="array" aca="1" ref="E887" ca="1">INDEX(Regions!$A$2:$A$7,RANDBETWEEN(1,6))</f>
        <v>Dublin</v>
      </c>
      <c r="F887">
        <f t="shared" ca="1" si="54"/>
        <v>5</v>
      </c>
      <c r="G887">
        <f ca="1">VLOOKUP(C887,Products!$A$2:$C$9,3,FALSE)</f>
        <v>80</v>
      </c>
      <c r="H887">
        <f t="shared" ca="1" si="55"/>
        <v>400</v>
      </c>
    </row>
    <row r="888" spans="1:8" x14ac:dyDescent="0.35">
      <c r="A888">
        <f t="shared" si="52"/>
        <v>1887</v>
      </c>
      <c r="B888" s="2">
        <f t="shared" ca="1" si="53"/>
        <v>45888</v>
      </c>
      <c r="C888" t="str" cm="1">
        <f t="array" aca="1" ref="C888" ca="1">INDEX(Products!$A$2:$A$9,RANDBETWEEN(1,8))</f>
        <v>Away Jersey</v>
      </c>
      <c r="D888" t="str">
        <f ca="1">_xlfn.XLOOKUP(C888,Products!A:A,Products!B:B)</f>
        <v>Jerseys</v>
      </c>
      <c r="E888" t="str" cm="1">
        <f t="array" aca="1" ref="E888" ca="1">INDEX(Regions!$A$2:$A$7,RANDBETWEEN(1,6))</f>
        <v>Dublin</v>
      </c>
      <c r="F888">
        <f t="shared" ca="1" si="54"/>
        <v>4</v>
      </c>
      <c r="G888">
        <f ca="1">VLOOKUP(C888,Products!$A$2:$C$9,3,FALSE)</f>
        <v>80</v>
      </c>
      <c r="H888">
        <f t="shared" ca="1" si="55"/>
        <v>320</v>
      </c>
    </row>
    <row r="889" spans="1:8" x14ac:dyDescent="0.35">
      <c r="A889">
        <f t="shared" si="52"/>
        <v>1888</v>
      </c>
      <c r="B889" s="2">
        <f t="shared" ca="1" si="53"/>
        <v>45803</v>
      </c>
      <c r="C889" t="str" cm="1">
        <f t="array" aca="1" ref="C889" ca="1">INDEX(Products!$A$2:$A$9,RANDBETWEEN(1,8))</f>
        <v>Jacket</v>
      </c>
      <c r="D889" t="str">
        <f ca="1">_xlfn.XLOOKUP(C889,Products!A:A,Products!B:B)</f>
        <v>Training Wear</v>
      </c>
      <c r="E889" t="str" cm="1">
        <f t="array" aca="1" ref="E889" ca="1">INDEX(Regions!$A$2:$A$7,RANDBETWEEN(1,6))</f>
        <v>Cork</v>
      </c>
      <c r="F889">
        <f t="shared" ca="1" si="54"/>
        <v>4</v>
      </c>
      <c r="G889">
        <f ca="1">VLOOKUP(C889,Products!$A$2:$C$9,3,FALSE)</f>
        <v>90</v>
      </c>
      <c r="H889">
        <f t="shared" ca="1" si="55"/>
        <v>360</v>
      </c>
    </row>
    <row r="890" spans="1:8" x14ac:dyDescent="0.35">
      <c r="A890">
        <f t="shared" si="52"/>
        <v>1889</v>
      </c>
      <c r="B890" s="2">
        <f t="shared" ca="1" si="53"/>
        <v>45317</v>
      </c>
      <c r="C890" t="str" cm="1">
        <f t="array" aca="1" ref="C890" ca="1">INDEX(Products!$A$2:$A$9,RANDBETWEEN(1,8))</f>
        <v>Training Top</v>
      </c>
      <c r="D890" t="str">
        <f ca="1">_xlfn.XLOOKUP(C890,Products!A:A,Products!B:B)</f>
        <v>Training Wear</v>
      </c>
      <c r="E890" t="str" cm="1">
        <f t="array" aca="1" ref="E890" ca="1">INDEX(Regions!$A$2:$A$7,RANDBETWEEN(1,6))</f>
        <v>Dublin</v>
      </c>
      <c r="F890">
        <f t="shared" ca="1" si="54"/>
        <v>4</v>
      </c>
      <c r="G890">
        <f ca="1">VLOOKUP(C890,Products!$A$2:$C$9,3,FALSE)</f>
        <v>55</v>
      </c>
      <c r="H890">
        <f t="shared" ca="1" si="55"/>
        <v>220</v>
      </c>
    </row>
    <row r="891" spans="1:8" x14ac:dyDescent="0.35">
      <c r="A891">
        <f t="shared" si="52"/>
        <v>1890</v>
      </c>
      <c r="B891" s="2">
        <f t="shared" ca="1" si="53"/>
        <v>45747</v>
      </c>
      <c r="C891" t="str" cm="1">
        <f t="array" aca="1" ref="C891" ca="1">INDEX(Products!$A$2:$A$9,RANDBETWEEN(1,8))</f>
        <v>Third Jersey</v>
      </c>
      <c r="D891" t="str">
        <f ca="1">_xlfn.XLOOKUP(C891,Products!A:A,Products!B:B)</f>
        <v>Jerseys</v>
      </c>
      <c r="E891" t="str" cm="1">
        <f t="array" aca="1" ref="E891" ca="1">INDEX(Regions!$A$2:$A$7,RANDBETWEEN(1,6))</f>
        <v>Belfast</v>
      </c>
      <c r="F891">
        <f t="shared" ca="1" si="54"/>
        <v>1</v>
      </c>
      <c r="G891">
        <f ca="1">VLOOKUP(C891,Products!$A$2:$C$9,3,FALSE)</f>
        <v>85</v>
      </c>
      <c r="H891">
        <f t="shared" ca="1" si="55"/>
        <v>85</v>
      </c>
    </row>
    <row r="892" spans="1:8" x14ac:dyDescent="0.35">
      <c r="A892">
        <f t="shared" si="52"/>
        <v>1891</v>
      </c>
      <c r="B892" s="2">
        <f t="shared" ca="1" si="53"/>
        <v>45456</v>
      </c>
      <c r="C892" t="str" cm="1">
        <f t="array" aca="1" ref="C892" ca="1">INDEX(Products!$A$2:$A$9,RANDBETWEEN(1,8))</f>
        <v>Away Jersey</v>
      </c>
      <c r="D892" t="str">
        <f ca="1">_xlfn.XLOOKUP(C892,Products!A:A,Products!B:B)</f>
        <v>Jerseys</v>
      </c>
      <c r="E892" t="str" cm="1">
        <f t="array" aca="1" ref="E892" ca="1">INDEX(Regions!$A$2:$A$7,RANDBETWEEN(1,6))</f>
        <v>Belfast</v>
      </c>
      <c r="F892">
        <f t="shared" ca="1" si="54"/>
        <v>2</v>
      </c>
      <c r="G892">
        <f ca="1">VLOOKUP(C892,Products!$A$2:$C$9,3,FALSE)</f>
        <v>80</v>
      </c>
      <c r="H892">
        <f t="shared" ca="1" si="55"/>
        <v>160</v>
      </c>
    </row>
    <row r="893" spans="1:8" x14ac:dyDescent="0.35">
      <c r="A893">
        <f t="shared" si="52"/>
        <v>1892</v>
      </c>
      <c r="B893" s="2">
        <f t="shared" ca="1" si="53"/>
        <v>45872</v>
      </c>
      <c r="C893" t="str" cm="1">
        <f t="array" aca="1" ref="C893" ca="1">INDEX(Products!$A$2:$A$9,RANDBETWEEN(1,8))</f>
        <v>Hat</v>
      </c>
      <c r="D893" t="str">
        <f ca="1">_xlfn.XLOOKUP(C893,Products!A:A,Products!B:B)</f>
        <v>Accessories</v>
      </c>
      <c r="E893" t="str" cm="1">
        <f t="array" aca="1" ref="E893" ca="1">INDEX(Regions!$A$2:$A$7,RANDBETWEEN(1,6))</f>
        <v>Galway</v>
      </c>
      <c r="F893">
        <f t="shared" ca="1" si="54"/>
        <v>4</v>
      </c>
      <c r="G893">
        <f ca="1">VLOOKUP(C893,Products!$A$2:$C$9,3,FALSE)</f>
        <v>25</v>
      </c>
      <c r="H893">
        <f t="shared" ca="1" si="55"/>
        <v>100</v>
      </c>
    </row>
    <row r="894" spans="1:8" x14ac:dyDescent="0.35">
      <c r="A894">
        <f t="shared" si="52"/>
        <v>1893</v>
      </c>
      <c r="B894" s="2">
        <f t="shared" ca="1" si="53"/>
        <v>45768</v>
      </c>
      <c r="C894" t="str" cm="1">
        <f t="array" aca="1" ref="C894" ca="1">INDEX(Products!$A$2:$A$9,RANDBETWEEN(1,8))</f>
        <v>Home Jersey</v>
      </c>
      <c r="D894" t="str">
        <f ca="1">_xlfn.XLOOKUP(C894,Products!A:A,Products!B:B)</f>
        <v>Jerseys</v>
      </c>
      <c r="E894" t="str" cm="1">
        <f t="array" aca="1" ref="E894" ca="1">INDEX(Regions!$A$2:$A$7,RANDBETWEEN(1,6))</f>
        <v>Belfast</v>
      </c>
      <c r="F894">
        <f t="shared" ca="1" si="54"/>
        <v>2</v>
      </c>
      <c r="G894">
        <f ca="1">VLOOKUP(C894,Products!$A$2:$C$9,3,FALSE)</f>
        <v>80</v>
      </c>
      <c r="H894">
        <f t="shared" ca="1" si="55"/>
        <v>160</v>
      </c>
    </row>
    <row r="895" spans="1:8" x14ac:dyDescent="0.35">
      <c r="A895">
        <f t="shared" si="52"/>
        <v>1894</v>
      </c>
      <c r="B895" s="2">
        <f t="shared" ca="1" si="53"/>
        <v>45465</v>
      </c>
      <c r="C895" t="str" cm="1">
        <f t="array" aca="1" ref="C895" ca="1">INDEX(Products!$A$2:$A$9,RANDBETWEEN(1,8))</f>
        <v>Football</v>
      </c>
      <c r="D895" t="str">
        <f ca="1">_xlfn.XLOOKUP(C895,Products!A:A,Products!B:B)</f>
        <v>Equipment</v>
      </c>
      <c r="E895" t="str" cm="1">
        <f t="array" aca="1" ref="E895" ca="1">INDEX(Regions!$A$2:$A$7,RANDBETWEEN(1,6))</f>
        <v>Galway</v>
      </c>
      <c r="F895">
        <f t="shared" ca="1" si="54"/>
        <v>5</v>
      </c>
      <c r="G895">
        <f ca="1">VLOOKUP(C895,Products!$A$2:$C$9,3,FALSE)</f>
        <v>30</v>
      </c>
      <c r="H895">
        <f t="shared" ca="1" si="55"/>
        <v>150</v>
      </c>
    </row>
    <row r="896" spans="1:8" x14ac:dyDescent="0.35">
      <c r="A896">
        <f t="shared" si="52"/>
        <v>1895</v>
      </c>
      <c r="B896" s="2">
        <f t="shared" ca="1" si="53"/>
        <v>45882</v>
      </c>
      <c r="C896" t="str" cm="1">
        <f t="array" aca="1" ref="C896" ca="1">INDEX(Products!$A$2:$A$9,RANDBETWEEN(1,8))</f>
        <v>Scarf</v>
      </c>
      <c r="D896" t="str">
        <f ca="1">_xlfn.XLOOKUP(C896,Products!A:A,Products!B:B)</f>
        <v>Accessories</v>
      </c>
      <c r="E896" t="str" cm="1">
        <f t="array" aca="1" ref="E896" ca="1">INDEX(Regions!$A$2:$A$7,RANDBETWEEN(1,6))</f>
        <v>Belfast</v>
      </c>
      <c r="F896">
        <f t="shared" ca="1" si="54"/>
        <v>3</v>
      </c>
      <c r="G896">
        <f ca="1">VLOOKUP(C896,Products!$A$2:$C$9,3,FALSE)</f>
        <v>20</v>
      </c>
      <c r="H896">
        <f t="shared" ca="1" si="55"/>
        <v>60</v>
      </c>
    </row>
    <row r="897" spans="1:8" x14ac:dyDescent="0.35">
      <c r="A897">
        <f t="shared" si="52"/>
        <v>1896</v>
      </c>
      <c r="B897" s="2">
        <f t="shared" ca="1" si="53"/>
        <v>45692</v>
      </c>
      <c r="C897" t="str" cm="1">
        <f t="array" aca="1" ref="C897" ca="1">INDEX(Products!$A$2:$A$9,RANDBETWEEN(1,8))</f>
        <v>Football</v>
      </c>
      <c r="D897" t="str">
        <f ca="1">_xlfn.XLOOKUP(C897,Products!A:A,Products!B:B)</f>
        <v>Equipment</v>
      </c>
      <c r="E897" t="str" cm="1">
        <f t="array" aca="1" ref="E897" ca="1">INDEX(Regions!$A$2:$A$7,RANDBETWEEN(1,6))</f>
        <v>Dublin</v>
      </c>
      <c r="F897">
        <f t="shared" ca="1" si="54"/>
        <v>3</v>
      </c>
      <c r="G897">
        <f ca="1">VLOOKUP(C897,Products!$A$2:$C$9,3,FALSE)</f>
        <v>30</v>
      </c>
      <c r="H897">
        <f t="shared" ca="1" si="55"/>
        <v>90</v>
      </c>
    </row>
    <row r="898" spans="1:8" x14ac:dyDescent="0.35">
      <c r="A898">
        <f t="shared" si="52"/>
        <v>1897</v>
      </c>
      <c r="B898" s="2">
        <f t="shared" ca="1" si="53"/>
        <v>45778</v>
      </c>
      <c r="C898" t="str" cm="1">
        <f t="array" aca="1" ref="C898" ca="1">INDEX(Products!$A$2:$A$9,RANDBETWEEN(1,8))</f>
        <v>Scarf</v>
      </c>
      <c r="D898" t="str">
        <f ca="1">_xlfn.XLOOKUP(C898,Products!A:A,Products!B:B)</f>
        <v>Accessories</v>
      </c>
      <c r="E898" t="str" cm="1">
        <f t="array" aca="1" ref="E898" ca="1">INDEX(Regions!$A$2:$A$7,RANDBETWEEN(1,6))</f>
        <v>Waterford</v>
      </c>
      <c r="F898">
        <f t="shared" ca="1" si="54"/>
        <v>5</v>
      </c>
      <c r="G898">
        <f ca="1">VLOOKUP(C898,Products!$A$2:$C$9,3,FALSE)</f>
        <v>20</v>
      </c>
      <c r="H898">
        <f t="shared" ca="1" si="55"/>
        <v>100</v>
      </c>
    </row>
    <row r="899" spans="1:8" x14ac:dyDescent="0.35">
      <c r="A899">
        <f t="shared" ref="A899:A962" si="56">ROW()+999</f>
        <v>1898</v>
      </c>
      <c r="B899" s="2">
        <f t="shared" ref="B899:B962" ca="1" si="57">DATE(2024,1,1)+RANDBETWEEN(0,730)</f>
        <v>45815</v>
      </c>
      <c r="C899" t="str" cm="1">
        <f t="array" aca="1" ref="C899" ca="1">INDEX(Products!$A$2:$A$9,RANDBETWEEN(1,8))</f>
        <v>Scarf</v>
      </c>
      <c r="D899" t="str">
        <f ca="1">_xlfn.XLOOKUP(C899,Products!A:A,Products!B:B)</f>
        <v>Accessories</v>
      </c>
      <c r="E899" t="str" cm="1">
        <f t="array" aca="1" ref="E899" ca="1">INDEX(Regions!$A$2:$A$7,RANDBETWEEN(1,6))</f>
        <v>Cork</v>
      </c>
      <c r="F899">
        <f t="shared" ref="F899:F962" ca="1" si="58">RANDBETWEEN(1,5)</f>
        <v>4</v>
      </c>
      <c r="G899">
        <f ca="1">VLOOKUP(C899,Products!$A$2:$C$9,3,FALSE)</f>
        <v>20</v>
      </c>
      <c r="H899">
        <f t="shared" ref="H899:H962" ca="1" si="59">F899*G899</f>
        <v>80</v>
      </c>
    </row>
    <row r="900" spans="1:8" x14ac:dyDescent="0.35">
      <c r="A900">
        <f t="shared" si="56"/>
        <v>1899</v>
      </c>
      <c r="B900" s="2">
        <f t="shared" ca="1" si="57"/>
        <v>45915</v>
      </c>
      <c r="C900" t="str" cm="1">
        <f t="array" aca="1" ref="C900" ca="1">INDEX(Products!$A$2:$A$9,RANDBETWEEN(1,8))</f>
        <v>Third Jersey</v>
      </c>
      <c r="D900" t="str">
        <f ca="1">_xlfn.XLOOKUP(C900,Products!A:A,Products!B:B)</f>
        <v>Jerseys</v>
      </c>
      <c r="E900" t="str" cm="1">
        <f t="array" aca="1" ref="E900" ca="1">INDEX(Regions!$A$2:$A$7,RANDBETWEEN(1,6))</f>
        <v>Limerick</v>
      </c>
      <c r="F900">
        <f t="shared" ca="1" si="58"/>
        <v>5</v>
      </c>
      <c r="G900">
        <f ca="1">VLOOKUP(C900,Products!$A$2:$C$9,3,FALSE)</f>
        <v>85</v>
      </c>
      <c r="H900">
        <f t="shared" ca="1" si="59"/>
        <v>425</v>
      </c>
    </row>
    <row r="901" spans="1:8" x14ac:dyDescent="0.35">
      <c r="A901">
        <f t="shared" si="56"/>
        <v>1900</v>
      </c>
      <c r="B901" s="2">
        <f t="shared" ca="1" si="57"/>
        <v>45824</v>
      </c>
      <c r="C901" t="str" cm="1">
        <f t="array" aca="1" ref="C901" ca="1">INDEX(Products!$A$2:$A$9,RANDBETWEEN(1,8))</f>
        <v>Jacket</v>
      </c>
      <c r="D901" t="str">
        <f ca="1">_xlfn.XLOOKUP(C901,Products!A:A,Products!B:B)</f>
        <v>Training Wear</v>
      </c>
      <c r="E901" t="str" cm="1">
        <f t="array" aca="1" ref="E901" ca="1">INDEX(Regions!$A$2:$A$7,RANDBETWEEN(1,6))</f>
        <v>Cork</v>
      </c>
      <c r="F901">
        <f t="shared" ca="1" si="58"/>
        <v>5</v>
      </c>
      <c r="G901">
        <f ca="1">VLOOKUP(C901,Products!$A$2:$C$9,3,FALSE)</f>
        <v>90</v>
      </c>
      <c r="H901">
        <f t="shared" ca="1" si="59"/>
        <v>450</v>
      </c>
    </row>
    <row r="902" spans="1:8" x14ac:dyDescent="0.35">
      <c r="A902">
        <f t="shared" si="56"/>
        <v>1901</v>
      </c>
      <c r="B902" s="2">
        <f t="shared" ca="1" si="57"/>
        <v>45841</v>
      </c>
      <c r="C902" t="str" cm="1">
        <f t="array" aca="1" ref="C902" ca="1">INDEX(Products!$A$2:$A$9,RANDBETWEEN(1,8))</f>
        <v>Third Jersey</v>
      </c>
      <c r="D902" t="str">
        <f ca="1">_xlfn.XLOOKUP(C902,Products!A:A,Products!B:B)</f>
        <v>Jerseys</v>
      </c>
      <c r="E902" t="str" cm="1">
        <f t="array" aca="1" ref="E902" ca="1">INDEX(Regions!$A$2:$A$7,RANDBETWEEN(1,6))</f>
        <v>Waterford</v>
      </c>
      <c r="F902">
        <f t="shared" ca="1" si="58"/>
        <v>3</v>
      </c>
      <c r="G902">
        <f ca="1">VLOOKUP(C902,Products!$A$2:$C$9,3,FALSE)</f>
        <v>85</v>
      </c>
      <c r="H902">
        <f t="shared" ca="1" si="59"/>
        <v>255</v>
      </c>
    </row>
    <row r="903" spans="1:8" x14ac:dyDescent="0.35">
      <c r="A903">
        <f t="shared" si="56"/>
        <v>1902</v>
      </c>
      <c r="B903" s="2">
        <f t="shared" ca="1" si="57"/>
        <v>45826</v>
      </c>
      <c r="C903" t="str" cm="1">
        <f t="array" aca="1" ref="C903" ca="1">INDEX(Products!$A$2:$A$9,RANDBETWEEN(1,8))</f>
        <v>Third Jersey</v>
      </c>
      <c r="D903" t="str">
        <f ca="1">_xlfn.XLOOKUP(C903,Products!A:A,Products!B:B)</f>
        <v>Jerseys</v>
      </c>
      <c r="E903" t="str" cm="1">
        <f t="array" aca="1" ref="E903" ca="1">INDEX(Regions!$A$2:$A$7,RANDBETWEEN(1,6))</f>
        <v>Dublin</v>
      </c>
      <c r="F903">
        <f t="shared" ca="1" si="58"/>
        <v>4</v>
      </c>
      <c r="G903">
        <f ca="1">VLOOKUP(C903,Products!$A$2:$C$9,3,FALSE)</f>
        <v>85</v>
      </c>
      <c r="H903">
        <f t="shared" ca="1" si="59"/>
        <v>340</v>
      </c>
    </row>
    <row r="904" spans="1:8" x14ac:dyDescent="0.35">
      <c r="A904">
        <f t="shared" si="56"/>
        <v>1903</v>
      </c>
      <c r="B904" s="2">
        <f t="shared" ca="1" si="57"/>
        <v>45900</v>
      </c>
      <c r="C904" t="str" cm="1">
        <f t="array" aca="1" ref="C904" ca="1">INDEX(Products!$A$2:$A$9,RANDBETWEEN(1,8))</f>
        <v>Jacket</v>
      </c>
      <c r="D904" t="str">
        <f ca="1">_xlfn.XLOOKUP(C904,Products!A:A,Products!B:B)</f>
        <v>Training Wear</v>
      </c>
      <c r="E904" t="str" cm="1">
        <f t="array" aca="1" ref="E904" ca="1">INDEX(Regions!$A$2:$A$7,RANDBETWEEN(1,6))</f>
        <v>Dublin</v>
      </c>
      <c r="F904">
        <f t="shared" ca="1" si="58"/>
        <v>1</v>
      </c>
      <c r="G904">
        <f ca="1">VLOOKUP(C904,Products!$A$2:$C$9,3,FALSE)</f>
        <v>90</v>
      </c>
      <c r="H904">
        <f t="shared" ca="1" si="59"/>
        <v>90</v>
      </c>
    </row>
    <row r="905" spans="1:8" x14ac:dyDescent="0.35">
      <c r="A905">
        <f t="shared" si="56"/>
        <v>1904</v>
      </c>
      <c r="B905" s="2">
        <f t="shared" ca="1" si="57"/>
        <v>45767</v>
      </c>
      <c r="C905" t="str" cm="1">
        <f t="array" aca="1" ref="C905" ca="1">INDEX(Products!$A$2:$A$9,RANDBETWEEN(1,8))</f>
        <v>Third Jersey</v>
      </c>
      <c r="D905" t="str">
        <f ca="1">_xlfn.XLOOKUP(C905,Products!A:A,Products!B:B)</f>
        <v>Jerseys</v>
      </c>
      <c r="E905" t="str" cm="1">
        <f t="array" aca="1" ref="E905" ca="1">INDEX(Regions!$A$2:$A$7,RANDBETWEEN(1,6))</f>
        <v>Dublin</v>
      </c>
      <c r="F905">
        <f t="shared" ca="1" si="58"/>
        <v>1</v>
      </c>
      <c r="G905">
        <f ca="1">VLOOKUP(C905,Products!$A$2:$C$9,3,FALSE)</f>
        <v>85</v>
      </c>
      <c r="H905">
        <f t="shared" ca="1" si="59"/>
        <v>85</v>
      </c>
    </row>
    <row r="906" spans="1:8" x14ac:dyDescent="0.35">
      <c r="A906">
        <f t="shared" si="56"/>
        <v>1905</v>
      </c>
      <c r="B906" s="2">
        <f t="shared" ca="1" si="57"/>
        <v>45749</v>
      </c>
      <c r="C906" t="str" cm="1">
        <f t="array" aca="1" ref="C906" ca="1">INDEX(Products!$A$2:$A$9,RANDBETWEEN(1,8))</f>
        <v>Away Jersey</v>
      </c>
      <c r="D906" t="str">
        <f ca="1">_xlfn.XLOOKUP(C906,Products!A:A,Products!B:B)</f>
        <v>Jerseys</v>
      </c>
      <c r="E906" t="str" cm="1">
        <f t="array" aca="1" ref="E906" ca="1">INDEX(Regions!$A$2:$A$7,RANDBETWEEN(1,6))</f>
        <v>Waterford</v>
      </c>
      <c r="F906">
        <f t="shared" ca="1" si="58"/>
        <v>3</v>
      </c>
      <c r="G906">
        <f ca="1">VLOOKUP(C906,Products!$A$2:$C$9,3,FALSE)</f>
        <v>80</v>
      </c>
      <c r="H906">
        <f t="shared" ca="1" si="59"/>
        <v>240</v>
      </c>
    </row>
    <row r="907" spans="1:8" x14ac:dyDescent="0.35">
      <c r="A907">
        <f t="shared" si="56"/>
        <v>1906</v>
      </c>
      <c r="B907" s="2">
        <f t="shared" ca="1" si="57"/>
        <v>45321</v>
      </c>
      <c r="C907" t="str" cm="1">
        <f t="array" aca="1" ref="C907" ca="1">INDEX(Products!$A$2:$A$9,RANDBETWEEN(1,8))</f>
        <v>Away Jersey</v>
      </c>
      <c r="D907" t="str">
        <f ca="1">_xlfn.XLOOKUP(C907,Products!A:A,Products!B:B)</f>
        <v>Jerseys</v>
      </c>
      <c r="E907" t="str" cm="1">
        <f t="array" aca="1" ref="E907" ca="1">INDEX(Regions!$A$2:$A$7,RANDBETWEEN(1,6))</f>
        <v>Waterford</v>
      </c>
      <c r="F907">
        <f t="shared" ca="1" si="58"/>
        <v>5</v>
      </c>
      <c r="G907">
        <f ca="1">VLOOKUP(C907,Products!$A$2:$C$9,3,FALSE)</f>
        <v>80</v>
      </c>
      <c r="H907">
        <f t="shared" ca="1" si="59"/>
        <v>400</v>
      </c>
    </row>
    <row r="908" spans="1:8" x14ac:dyDescent="0.35">
      <c r="A908">
        <f t="shared" si="56"/>
        <v>1907</v>
      </c>
      <c r="B908" s="2">
        <f t="shared" ca="1" si="57"/>
        <v>45699</v>
      </c>
      <c r="C908" t="str" cm="1">
        <f t="array" aca="1" ref="C908" ca="1">INDEX(Products!$A$2:$A$9,RANDBETWEEN(1,8))</f>
        <v>Jacket</v>
      </c>
      <c r="D908" t="str">
        <f ca="1">_xlfn.XLOOKUP(C908,Products!A:A,Products!B:B)</f>
        <v>Training Wear</v>
      </c>
      <c r="E908" t="str" cm="1">
        <f t="array" aca="1" ref="E908" ca="1">INDEX(Regions!$A$2:$A$7,RANDBETWEEN(1,6))</f>
        <v>Limerick</v>
      </c>
      <c r="F908">
        <f t="shared" ca="1" si="58"/>
        <v>5</v>
      </c>
      <c r="G908">
        <f ca="1">VLOOKUP(C908,Products!$A$2:$C$9,3,FALSE)</f>
        <v>90</v>
      </c>
      <c r="H908">
        <f t="shared" ca="1" si="59"/>
        <v>450</v>
      </c>
    </row>
    <row r="909" spans="1:8" x14ac:dyDescent="0.35">
      <c r="A909">
        <f t="shared" si="56"/>
        <v>1908</v>
      </c>
      <c r="B909" s="2">
        <f t="shared" ca="1" si="57"/>
        <v>45537</v>
      </c>
      <c r="C909" t="str" cm="1">
        <f t="array" aca="1" ref="C909" ca="1">INDEX(Products!$A$2:$A$9,RANDBETWEEN(1,8))</f>
        <v>Scarf</v>
      </c>
      <c r="D909" t="str">
        <f ca="1">_xlfn.XLOOKUP(C909,Products!A:A,Products!B:B)</f>
        <v>Accessories</v>
      </c>
      <c r="E909" t="str" cm="1">
        <f t="array" aca="1" ref="E909" ca="1">INDEX(Regions!$A$2:$A$7,RANDBETWEEN(1,6))</f>
        <v>Waterford</v>
      </c>
      <c r="F909">
        <f t="shared" ca="1" si="58"/>
        <v>1</v>
      </c>
      <c r="G909">
        <f ca="1">VLOOKUP(C909,Products!$A$2:$C$9,3,FALSE)</f>
        <v>20</v>
      </c>
      <c r="H909">
        <f t="shared" ca="1" si="59"/>
        <v>20</v>
      </c>
    </row>
    <row r="910" spans="1:8" x14ac:dyDescent="0.35">
      <c r="A910">
        <f t="shared" si="56"/>
        <v>1909</v>
      </c>
      <c r="B910" s="2">
        <f t="shared" ca="1" si="57"/>
        <v>45491</v>
      </c>
      <c r="C910" t="str" cm="1">
        <f t="array" aca="1" ref="C910" ca="1">INDEX(Products!$A$2:$A$9,RANDBETWEEN(1,8))</f>
        <v>Third Jersey</v>
      </c>
      <c r="D910" t="str">
        <f ca="1">_xlfn.XLOOKUP(C910,Products!A:A,Products!B:B)</f>
        <v>Jerseys</v>
      </c>
      <c r="E910" t="str" cm="1">
        <f t="array" aca="1" ref="E910" ca="1">INDEX(Regions!$A$2:$A$7,RANDBETWEEN(1,6))</f>
        <v>Belfast</v>
      </c>
      <c r="F910">
        <f t="shared" ca="1" si="58"/>
        <v>4</v>
      </c>
      <c r="G910">
        <f ca="1">VLOOKUP(C910,Products!$A$2:$C$9,3,FALSE)</f>
        <v>85</v>
      </c>
      <c r="H910">
        <f t="shared" ca="1" si="59"/>
        <v>340</v>
      </c>
    </row>
    <row r="911" spans="1:8" x14ac:dyDescent="0.35">
      <c r="A911">
        <f t="shared" si="56"/>
        <v>1910</v>
      </c>
      <c r="B911" s="2">
        <f t="shared" ca="1" si="57"/>
        <v>45987</v>
      </c>
      <c r="C911" t="str" cm="1">
        <f t="array" aca="1" ref="C911" ca="1">INDEX(Products!$A$2:$A$9,RANDBETWEEN(1,8))</f>
        <v>Football</v>
      </c>
      <c r="D911" t="str">
        <f ca="1">_xlfn.XLOOKUP(C911,Products!A:A,Products!B:B)</f>
        <v>Equipment</v>
      </c>
      <c r="E911" t="str" cm="1">
        <f t="array" aca="1" ref="E911" ca="1">INDEX(Regions!$A$2:$A$7,RANDBETWEEN(1,6))</f>
        <v>Limerick</v>
      </c>
      <c r="F911">
        <f t="shared" ca="1" si="58"/>
        <v>2</v>
      </c>
      <c r="G911">
        <f ca="1">VLOOKUP(C911,Products!$A$2:$C$9,3,FALSE)</f>
        <v>30</v>
      </c>
      <c r="H911">
        <f t="shared" ca="1" si="59"/>
        <v>60</v>
      </c>
    </row>
    <row r="912" spans="1:8" x14ac:dyDescent="0.35">
      <c r="A912">
        <f t="shared" si="56"/>
        <v>1911</v>
      </c>
      <c r="B912" s="2">
        <f t="shared" ca="1" si="57"/>
        <v>45538</v>
      </c>
      <c r="C912" t="str" cm="1">
        <f t="array" aca="1" ref="C912" ca="1">INDEX(Products!$A$2:$A$9,RANDBETWEEN(1,8))</f>
        <v>Jacket</v>
      </c>
      <c r="D912" t="str">
        <f ca="1">_xlfn.XLOOKUP(C912,Products!A:A,Products!B:B)</f>
        <v>Training Wear</v>
      </c>
      <c r="E912" t="str" cm="1">
        <f t="array" aca="1" ref="E912" ca="1">INDEX(Regions!$A$2:$A$7,RANDBETWEEN(1,6))</f>
        <v>Belfast</v>
      </c>
      <c r="F912">
        <f t="shared" ca="1" si="58"/>
        <v>1</v>
      </c>
      <c r="G912">
        <f ca="1">VLOOKUP(C912,Products!$A$2:$C$9,3,FALSE)</f>
        <v>90</v>
      </c>
      <c r="H912">
        <f t="shared" ca="1" si="59"/>
        <v>90</v>
      </c>
    </row>
    <row r="913" spans="1:8" x14ac:dyDescent="0.35">
      <c r="A913">
        <f t="shared" si="56"/>
        <v>1912</v>
      </c>
      <c r="B913" s="2">
        <f t="shared" ca="1" si="57"/>
        <v>45492</v>
      </c>
      <c r="C913" t="str" cm="1">
        <f t="array" aca="1" ref="C913" ca="1">INDEX(Products!$A$2:$A$9,RANDBETWEEN(1,8))</f>
        <v>Home Jersey</v>
      </c>
      <c r="D913" t="str">
        <f ca="1">_xlfn.XLOOKUP(C913,Products!A:A,Products!B:B)</f>
        <v>Jerseys</v>
      </c>
      <c r="E913" t="str" cm="1">
        <f t="array" aca="1" ref="E913" ca="1">INDEX(Regions!$A$2:$A$7,RANDBETWEEN(1,6))</f>
        <v>Cork</v>
      </c>
      <c r="F913">
        <f t="shared" ca="1" si="58"/>
        <v>5</v>
      </c>
      <c r="G913">
        <f ca="1">VLOOKUP(C913,Products!$A$2:$C$9,3,FALSE)</f>
        <v>80</v>
      </c>
      <c r="H913">
        <f t="shared" ca="1" si="59"/>
        <v>400</v>
      </c>
    </row>
    <row r="914" spans="1:8" x14ac:dyDescent="0.35">
      <c r="A914">
        <f t="shared" si="56"/>
        <v>1913</v>
      </c>
      <c r="B914" s="2">
        <f t="shared" ca="1" si="57"/>
        <v>45905</v>
      </c>
      <c r="C914" t="str" cm="1">
        <f t="array" aca="1" ref="C914" ca="1">INDEX(Products!$A$2:$A$9,RANDBETWEEN(1,8))</f>
        <v>Football</v>
      </c>
      <c r="D914" t="str">
        <f ca="1">_xlfn.XLOOKUP(C914,Products!A:A,Products!B:B)</f>
        <v>Equipment</v>
      </c>
      <c r="E914" t="str" cm="1">
        <f t="array" aca="1" ref="E914" ca="1">INDEX(Regions!$A$2:$A$7,RANDBETWEEN(1,6))</f>
        <v>Belfast</v>
      </c>
      <c r="F914">
        <f t="shared" ca="1" si="58"/>
        <v>4</v>
      </c>
      <c r="G914">
        <f ca="1">VLOOKUP(C914,Products!$A$2:$C$9,3,FALSE)</f>
        <v>30</v>
      </c>
      <c r="H914">
        <f t="shared" ca="1" si="59"/>
        <v>120</v>
      </c>
    </row>
    <row r="915" spans="1:8" x14ac:dyDescent="0.35">
      <c r="A915">
        <f t="shared" si="56"/>
        <v>1914</v>
      </c>
      <c r="B915" s="2">
        <f t="shared" ca="1" si="57"/>
        <v>45924</v>
      </c>
      <c r="C915" t="str" cm="1">
        <f t="array" aca="1" ref="C915" ca="1">INDEX(Products!$A$2:$A$9,RANDBETWEEN(1,8))</f>
        <v>Jacket</v>
      </c>
      <c r="D915" t="str">
        <f ca="1">_xlfn.XLOOKUP(C915,Products!A:A,Products!B:B)</f>
        <v>Training Wear</v>
      </c>
      <c r="E915" t="str" cm="1">
        <f t="array" aca="1" ref="E915" ca="1">INDEX(Regions!$A$2:$A$7,RANDBETWEEN(1,6))</f>
        <v>Cork</v>
      </c>
      <c r="F915">
        <f t="shared" ca="1" si="58"/>
        <v>1</v>
      </c>
      <c r="G915">
        <f ca="1">VLOOKUP(C915,Products!$A$2:$C$9,3,FALSE)</f>
        <v>90</v>
      </c>
      <c r="H915">
        <f t="shared" ca="1" si="59"/>
        <v>90</v>
      </c>
    </row>
    <row r="916" spans="1:8" x14ac:dyDescent="0.35">
      <c r="A916">
        <f t="shared" si="56"/>
        <v>1915</v>
      </c>
      <c r="B916" s="2">
        <f t="shared" ca="1" si="57"/>
        <v>45909</v>
      </c>
      <c r="C916" t="str" cm="1">
        <f t="array" aca="1" ref="C916" ca="1">INDEX(Products!$A$2:$A$9,RANDBETWEEN(1,8))</f>
        <v>Jacket</v>
      </c>
      <c r="D916" t="str">
        <f ca="1">_xlfn.XLOOKUP(C916,Products!A:A,Products!B:B)</f>
        <v>Training Wear</v>
      </c>
      <c r="E916" t="str" cm="1">
        <f t="array" aca="1" ref="E916" ca="1">INDEX(Regions!$A$2:$A$7,RANDBETWEEN(1,6))</f>
        <v>Belfast</v>
      </c>
      <c r="F916">
        <f t="shared" ca="1" si="58"/>
        <v>2</v>
      </c>
      <c r="G916">
        <f ca="1">VLOOKUP(C916,Products!$A$2:$C$9,3,FALSE)</f>
        <v>90</v>
      </c>
      <c r="H916">
        <f t="shared" ca="1" si="59"/>
        <v>180</v>
      </c>
    </row>
    <row r="917" spans="1:8" x14ac:dyDescent="0.35">
      <c r="A917">
        <f t="shared" si="56"/>
        <v>1916</v>
      </c>
      <c r="B917" s="2">
        <f t="shared" ca="1" si="57"/>
        <v>46019</v>
      </c>
      <c r="C917" t="str" cm="1">
        <f t="array" aca="1" ref="C917" ca="1">INDEX(Products!$A$2:$A$9,RANDBETWEEN(1,8))</f>
        <v>Third Jersey</v>
      </c>
      <c r="D917" t="str">
        <f ca="1">_xlfn.XLOOKUP(C917,Products!A:A,Products!B:B)</f>
        <v>Jerseys</v>
      </c>
      <c r="E917" t="str" cm="1">
        <f t="array" aca="1" ref="E917" ca="1">INDEX(Regions!$A$2:$A$7,RANDBETWEEN(1,6))</f>
        <v>Belfast</v>
      </c>
      <c r="F917">
        <f t="shared" ca="1" si="58"/>
        <v>3</v>
      </c>
      <c r="G917">
        <f ca="1">VLOOKUP(C917,Products!$A$2:$C$9,3,FALSE)</f>
        <v>85</v>
      </c>
      <c r="H917">
        <f t="shared" ca="1" si="59"/>
        <v>255</v>
      </c>
    </row>
    <row r="918" spans="1:8" x14ac:dyDescent="0.35">
      <c r="A918">
        <f t="shared" si="56"/>
        <v>1917</v>
      </c>
      <c r="B918" s="2">
        <f t="shared" ca="1" si="57"/>
        <v>45723</v>
      </c>
      <c r="C918" t="str" cm="1">
        <f t="array" aca="1" ref="C918" ca="1">INDEX(Products!$A$2:$A$9,RANDBETWEEN(1,8))</f>
        <v>Jacket</v>
      </c>
      <c r="D918" t="str">
        <f ca="1">_xlfn.XLOOKUP(C918,Products!A:A,Products!B:B)</f>
        <v>Training Wear</v>
      </c>
      <c r="E918" t="str" cm="1">
        <f t="array" aca="1" ref="E918" ca="1">INDEX(Regions!$A$2:$A$7,RANDBETWEEN(1,6))</f>
        <v>Dublin</v>
      </c>
      <c r="F918">
        <f t="shared" ca="1" si="58"/>
        <v>1</v>
      </c>
      <c r="G918">
        <f ca="1">VLOOKUP(C918,Products!$A$2:$C$9,3,FALSE)</f>
        <v>90</v>
      </c>
      <c r="H918">
        <f t="shared" ca="1" si="59"/>
        <v>90</v>
      </c>
    </row>
    <row r="919" spans="1:8" x14ac:dyDescent="0.35">
      <c r="A919">
        <f t="shared" si="56"/>
        <v>1918</v>
      </c>
      <c r="B919" s="2">
        <f t="shared" ca="1" si="57"/>
        <v>45718</v>
      </c>
      <c r="C919" t="str" cm="1">
        <f t="array" aca="1" ref="C919" ca="1">INDEX(Products!$A$2:$A$9,RANDBETWEEN(1,8))</f>
        <v>Third Jersey</v>
      </c>
      <c r="D919" t="str">
        <f ca="1">_xlfn.XLOOKUP(C919,Products!A:A,Products!B:B)</f>
        <v>Jerseys</v>
      </c>
      <c r="E919" t="str" cm="1">
        <f t="array" aca="1" ref="E919" ca="1">INDEX(Regions!$A$2:$A$7,RANDBETWEEN(1,6))</f>
        <v>Limerick</v>
      </c>
      <c r="F919">
        <f t="shared" ca="1" si="58"/>
        <v>2</v>
      </c>
      <c r="G919">
        <f ca="1">VLOOKUP(C919,Products!$A$2:$C$9,3,FALSE)</f>
        <v>85</v>
      </c>
      <c r="H919">
        <f t="shared" ca="1" si="59"/>
        <v>170</v>
      </c>
    </row>
    <row r="920" spans="1:8" x14ac:dyDescent="0.35">
      <c r="A920">
        <f t="shared" si="56"/>
        <v>1919</v>
      </c>
      <c r="B920" s="2">
        <f t="shared" ca="1" si="57"/>
        <v>45913</v>
      </c>
      <c r="C920" t="str" cm="1">
        <f t="array" aca="1" ref="C920" ca="1">INDEX(Products!$A$2:$A$9,RANDBETWEEN(1,8))</f>
        <v>Hat</v>
      </c>
      <c r="D920" t="str">
        <f ca="1">_xlfn.XLOOKUP(C920,Products!A:A,Products!B:B)</f>
        <v>Accessories</v>
      </c>
      <c r="E920" t="str" cm="1">
        <f t="array" aca="1" ref="E920" ca="1">INDEX(Regions!$A$2:$A$7,RANDBETWEEN(1,6))</f>
        <v>Cork</v>
      </c>
      <c r="F920">
        <f t="shared" ca="1" si="58"/>
        <v>4</v>
      </c>
      <c r="G920">
        <f ca="1">VLOOKUP(C920,Products!$A$2:$C$9,3,FALSE)</f>
        <v>25</v>
      </c>
      <c r="H920">
        <f t="shared" ca="1" si="59"/>
        <v>100</v>
      </c>
    </row>
    <row r="921" spans="1:8" x14ac:dyDescent="0.35">
      <c r="A921">
        <f t="shared" si="56"/>
        <v>1920</v>
      </c>
      <c r="B921" s="2">
        <f t="shared" ca="1" si="57"/>
        <v>45547</v>
      </c>
      <c r="C921" t="str" cm="1">
        <f t="array" aca="1" ref="C921" ca="1">INDEX(Products!$A$2:$A$9,RANDBETWEEN(1,8))</f>
        <v>Scarf</v>
      </c>
      <c r="D921" t="str">
        <f ca="1">_xlfn.XLOOKUP(C921,Products!A:A,Products!B:B)</f>
        <v>Accessories</v>
      </c>
      <c r="E921" t="str" cm="1">
        <f t="array" aca="1" ref="E921" ca="1">INDEX(Regions!$A$2:$A$7,RANDBETWEEN(1,6))</f>
        <v>Waterford</v>
      </c>
      <c r="F921">
        <f t="shared" ca="1" si="58"/>
        <v>4</v>
      </c>
      <c r="G921">
        <f ca="1">VLOOKUP(C921,Products!$A$2:$C$9,3,FALSE)</f>
        <v>20</v>
      </c>
      <c r="H921">
        <f t="shared" ca="1" si="59"/>
        <v>80</v>
      </c>
    </row>
    <row r="922" spans="1:8" x14ac:dyDescent="0.35">
      <c r="A922">
        <f t="shared" si="56"/>
        <v>1921</v>
      </c>
      <c r="B922" s="2">
        <f t="shared" ca="1" si="57"/>
        <v>46014</v>
      </c>
      <c r="C922" t="str" cm="1">
        <f t="array" aca="1" ref="C922" ca="1">INDEX(Products!$A$2:$A$9,RANDBETWEEN(1,8))</f>
        <v>Training Top</v>
      </c>
      <c r="D922" t="str">
        <f ca="1">_xlfn.XLOOKUP(C922,Products!A:A,Products!B:B)</f>
        <v>Training Wear</v>
      </c>
      <c r="E922" t="str" cm="1">
        <f t="array" aca="1" ref="E922" ca="1">INDEX(Regions!$A$2:$A$7,RANDBETWEEN(1,6))</f>
        <v>Cork</v>
      </c>
      <c r="F922">
        <f t="shared" ca="1" si="58"/>
        <v>3</v>
      </c>
      <c r="G922">
        <f ca="1">VLOOKUP(C922,Products!$A$2:$C$9,3,FALSE)</f>
        <v>55</v>
      </c>
      <c r="H922">
        <f t="shared" ca="1" si="59"/>
        <v>165</v>
      </c>
    </row>
    <row r="923" spans="1:8" x14ac:dyDescent="0.35">
      <c r="A923">
        <f t="shared" si="56"/>
        <v>1922</v>
      </c>
      <c r="B923" s="2">
        <f t="shared" ca="1" si="57"/>
        <v>46019</v>
      </c>
      <c r="C923" t="str" cm="1">
        <f t="array" aca="1" ref="C923" ca="1">INDEX(Products!$A$2:$A$9,RANDBETWEEN(1,8))</f>
        <v>Scarf</v>
      </c>
      <c r="D923" t="str">
        <f ca="1">_xlfn.XLOOKUP(C923,Products!A:A,Products!B:B)</f>
        <v>Accessories</v>
      </c>
      <c r="E923" t="str" cm="1">
        <f t="array" aca="1" ref="E923" ca="1">INDEX(Regions!$A$2:$A$7,RANDBETWEEN(1,6))</f>
        <v>Galway</v>
      </c>
      <c r="F923">
        <f t="shared" ca="1" si="58"/>
        <v>2</v>
      </c>
      <c r="G923">
        <f ca="1">VLOOKUP(C923,Products!$A$2:$C$9,3,FALSE)</f>
        <v>20</v>
      </c>
      <c r="H923">
        <f t="shared" ca="1" si="59"/>
        <v>40</v>
      </c>
    </row>
    <row r="924" spans="1:8" x14ac:dyDescent="0.35">
      <c r="A924">
        <f t="shared" si="56"/>
        <v>1923</v>
      </c>
      <c r="B924" s="2">
        <f t="shared" ca="1" si="57"/>
        <v>45572</v>
      </c>
      <c r="C924" t="str" cm="1">
        <f t="array" aca="1" ref="C924" ca="1">INDEX(Products!$A$2:$A$9,RANDBETWEEN(1,8))</f>
        <v>Training Top</v>
      </c>
      <c r="D924" t="str">
        <f ca="1">_xlfn.XLOOKUP(C924,Products!A:A,Products!B:B)</f>
        <v>Training Wear</v>
      </c>
      <c r="E924" t="str" cm="1">
        <f t="array" aca="1" ref="E924" ca="1">INDEX(Regions!$A$2:$A$7,RANDBETWEEN(1,6))</f>
        <v>Belfast</v>
      </c>
      <c r="F924">
        <f t="shared" ca="1" si="58"/>
        <v>4</v>
      </c>
      <c r="G924">
        <f ca="1">VLOOKUP(C924,Products!$A$2:$C$9,3,FALSE)</f>
        <v>55</v>
      </c>
      <c r="H924">
        <f t="shared" ca="1" si="59"/>
        <v>220</v>
      </c>
    </row>
    <row r="925" spans="1:8" x14ac:dyDescent="0.35">
      <c r="A925">
        <f t="shared" si="56"/>
        <v>1924</v>
      </c>
      <c r="B925" s="2">
        <f t="shared" ca="1" si="57"/>
        <v>45570</v>
      </c>
      <c r="C925" t="str" cm="1">
        <f t="array" aca="1" ref="C925" ca="1">INDEX(Products!$A$2:$A$9,RANDBETWEEN(1,8))</f>
        <v>Hat</v>
      </c>
      <c r="D925" t="str">
        <f ca="1">_xlfn.XLOOKUP(C925,Products!A:A,Products!B:B)</f>
        <v>Accessories</v>
      </c>
      <c r="E925" t="str" cm="1">
        <f t="array" aca="1" ref="E925" ca="1">INDEX(Regions!$A$2:$A$7,RANDBETWEEN(1,6))</f>
        <v>Waterford</v>
      </c>
      <c r="F925">
        <f t="shared" ca="1" si="58"/>
        <v>1</v>
      </c>
      <c r="G925">
        <f ca="1">VLOOKUP(C925,Products!$A$2:$C$9,3,FALSE)</f>
        <v>25</v>
      </c>
      <c r="H925">
        <f t="shared" ca="1" si="59"/>
        <v>25</v>
      </c>
    </row>
    <row r="926" spans="1:8" x14ac:dyDescent="0.35">
      <c r="A926">
        <f t="shared" si="56"/>
        <v>1925</v>
      </c>
      <c r="B926" s="2">
        <f t="shared" ca="1" si="57"/>
        <v>45778</v>
      </c>
      <c r="C926" t="str" cm="1">
        <f t="array" aca="1" ref="C926" ca="1">INDEX(Products!$A$2:$A$9,RANDBETWEEN(1,8))</f>
        <v>Hat</v>
      </c>
      <c r="D926" t="str">
        <f ca="1">_xlfn.XLOOKUP(C926,Products!A:A,Products!B:B)</f>
        <v>Accessories</v>
      </c>
      <c r="E926" t="str" cm="1">
        <f t="array" aca="1" ref="E926" ca="1">INDEX(Regions!$A$2:$A$7,RANDBETWEEN(1,6))</f>
        <v>Belfast</v>
      </c>
      <c r="F926">
        <f t="shared" ca="1" si="58"/>
        <v>2</v>
      </c>
      <c r="G926">
        <f ca="1">VLOOKUP(C926,Products!$A$2:$C$9,3,FALSE)</f>
        <v>25</v>
      </c>
      <c r="H926">
        <f t="shared" ca="1" si="59"/>
        <v>50</v>
      </c>
    </row>
    <row r="927" spans="1:8" x14ac:dyDescent="0.35">
      <c r="A927">
        <f t="shared" si="56"/>
        <v>1926</v>
      </c>
      <c r="B927" s="2">
        <f t="shared" ca="1" si="57"/>
        <v>45882</v>
      </c>
      <c r="C927" t="str" cm="1">
        <f t="array" aca="1" ref="C927" ca="1">INDEX(Products!$A$2:$A$9,RANDBETWEEN(1,8))</f>
        <v>Scarf</v>
      </c>
      <c r="D927" t="str">
        <f ca="1">_xlfn.XLOOKUP(C927,Products!A:A,Products!B:B)</f>
        <v>Accessories</v>
      </c>
      <c r="E927" t="str" cm="1">
        <f t="array" aca="1" ref="E927" ca="1">INDEX(Regions!$A$2:$A$7,RANDBETWEEN(1,6))</f>
        <v>Cork</v>
      </c>
      <c r="F927">
        <f t="shared" ca="1" si="58"/>
        <v>4</v>
      </c>
      <c r="G927">
        <f ca="1">VLOOKUP(C927,Products!$A$2:$C$9,3,FALSE)</f>
        <v>20</v>
      </c>
      <c r="H927">
        <f t="shared" ca="1" si="59"/>
        <v>80</v>
      </c>
    </row>
    <row r="928" spans="1:8" x14ac:dyDescent="0.35">
      <c r="A928">
        <f t="shared" si="56"/>
        <v>1927</v>
      </c>
      <c r="B928" s="2">
        <f t="shared" ca="1" si="57"/>
        <v>45387</v>
      </c>
      <c r="C928" t="str" cm="1">
        <f t="array" aca="1" ref="C928" ca="1">INDEX(Products!$A$2:$A$9,RANDBETWEEN(1,8))</f>
        <v>Third Jersey</v>
      </c>
      <c r="D928" t="str">
        <f ca="1">_xlfn.XLOOKUP(C928,Products!A:A,Products!B:B)</f>
        <v>Jerseys</v>
      </c>
      <c r="E928" t="str" cm="1">
        <f t="array" aca="1" ref="E928" ca="1">INDEX(Regions!$A$2:$A$7,RANDBETWEEN(1,6))</f>
        <v>Limerick</v>
      </c>
      <c r="F928">
        <f t="shared" ca="1" si="58"/>
        <v>1</v>
      </c>
      <c r="G928">
        <f ca="1">VLOOKUP(C928,Products!$A$2:$C$9,3,FALSE)</f>
        <v>85</v>
      </c>
      <c r="H928">
        <f t="shared" ca="1" si="59"/>
        <v>85</v>
      </c>
    </row>
    <row r="929" spans="1:8" x14ac:dyDescent="0.35">
      <c r="A929">
        <f t="shared" si="56"/>
        <v>1928</v>
      </c>
      <c r="B929" s="2">
        <f t="shared" ca="1" si="57"/>
        <v>45620</v>
      </c>
      <c r="C929" t="str" cm="1">
        <f t="array" aca="1" ref="C929" ca="1">INDEX(Products!$A$2:$A$9,RANDBETWEEN(1,8))</f>
        <v>Third Jersey</v>
      </c>
      <c r="D929" t="str">
        <f ca="1">_xlfn.XLOOKUP(C929,Products!A:A,Products!B:B)</f>
        <v>Jerseys</v>
      </c>
      <c r="E929" t="str" cm="1">
        <f t="array" aca="1" ref="E929" ca="1">INDEX(Regions!$A$2:$A$7,RANDBETWEEN(1,6))</f>
        <v>Waterford</v>
      </c>
      <c r="F929">
        <f t="shared" ca="1" si="58"/>
        <v>4</v>
      </c>
      <c r="G929">
        <f ca="1">VLOOKUP(C929,Products!$A$2:$C$9,3,FALSE)</f>
        <v>85</v>
      </c>
      <c r="H929">
        <f t="shared" ca="1" si="59"/>
        <v>340</v>
      </c>
    </row>
    <row r="930" spans="1:8" x14ac:dyDescent="0.35">
      <c r="A930">
        <f t="shared" si="56"/>
        <v>1929</v>
      </c>
      <c r="B930" s="2">
        <f t="shared" ca="1" si="57"/>
        <v>45503</v>
      </c>
      <c r="C930" t="str" cm="1">
        <f t="array" aca="1" ref="C930" ca="1">INDEX(Products!$A$2:$A$9,RANDBETWEEN(1,8))</f>
        <v>Third Jersey</v>
      </c>
      <c r="D930" t="str">
        <f ca="1">_xlfn.XLOOKUP(C930,Products!A:A,Products!B:B)</f>
        <v>Jerseys</v>
      </c>
      <c r="E930" t="str" cm="1">
        <f t="array" aca="1" ref="E930" ca="1">INDEX(Regions!$A$2:$A$7,RANDBETWEEN(1,6))</f>
        <v>Galway</v>
      </c>
      <c r="F930">
        <f t="shared" ca="1" si="58"/>
        <v>2</v>
      </c>
      <c r="G930">
        <f ca="1">VLOOKUP(C930,Products!$A$2:$C$9,3,FALSE)</f>
        <v>85</v>
      </c>
      <c r="H930">
        <f t="shared" ca="1" si="59"/>
        <v>170</v>
      </c>
    </row>
    <row r="931" spans="1:8" x14ac:dyDescent="0.35">
      <c r="A931">
        <f t="shared" si="56"/>
        <v>1930</v>
      </c>
      <c r="B931" s="2">
        <f t="shared" ca="1" si="57"/>
        <v>45330</v>
      </c>
      <c r="C931" t="str" cm="1">
        <f t="array" aca="1" ref="C931" ca="1">INDEX(Products!$A$2:$A$9,RANDBETWEEN(1,8))</f>
        <v>Third Jersey</v>
      </c>
      <c r="D931" t="str">
        <f ca="1">_xlfn.XLOOKUP(C931,Products!A:A,Products!B:B)</f>
        <v>Jerseys</v>
      </c>
      <c r="E931" t="str" cm="1">
        <f t="array" aca="1" ref="E931" ca="1">INDEX(Regions!$A$2:$A$7,RANDBETWEEN(1,6))</f>
        <v>Galway</v>
      </c>
      <c r="F931">
        <f t="shared" ca="1" si="58"/>
        <v>3</v>
      </c>
      <c r="G931">
        <f ca="1">VLOOKUP(C931,Products!$A$2:$C$9,3,FALSE)</f>
        <v>85</v>
      </c>
      <c r="H931">
        <f t="shared" ca="1" si="59"/>
        <v>255</v>
      </c>
    </row>
    <row r="932" spans="1:8" x14ac:dyDescent="0.35">
      <c r="A932">
        <f t="shared" si="56"/>
        <v>1931</v>
      </c>
      <c r="B932" s="2">
        <f t="shared" ca="1" si="57"/>
        <v>45805</v>
      </c>
      <c r="C932" t="str" cm="1">
        <f t="array" aca="1" ref="C932" ca="1">INDEX(Products!$A$2:$A$9,RANDBETWEEN(1,8))</f>
        <v>Scarf</v>
      </c>
      <c r="D932" t="str">
        <f ca="1">_xlfn.XLOOKUP(C932,Products!A:A,Products!B:B)</f>
        <v>Accessories</v>
      </c>
      <c r="E932" t="str" cm="1">
        <f t="array" aca="1" ref="E932" ca="1">INDEX(Regions!$A$2:$A$7,RANDBETWEEN(1,6))</f>
        <v>Cork</v>
      </c>
      <c r="F932">
        <f t="shared" ca="1" si="58"/>
        <v>5</v>
      </c>
      <c r="G932">
        <f ca="1">VLOOKUP(C932,Products!$A$2:$C$9,3,FALSE)</f>
        <v>20</v>
      </c>
      <c r="H932">
        <f t="shared" ca="1" si="59"/>
        <v>100</v>
      </c>
    </row>
    <row r="933" spans="1:8" x14ac:dyDescent="0.35">
      <c r="A933">
        <f t="shared" si="56"/>
        <v>1932</v>
      </c>
      <c r="B933" s="2">
        <f t="shared" ca="1" si="57"/>
        <v>45518</v>
      </c>
      <c r="C933" t="str" cm="1">
        <f t="array" aca="1" ref="C933" ca="1">INDEX(Products!$A$2:$A$9,RANDBETWEEN(1,8))</f>
        <v>Hat</v>
      </c>
      <c r="D933" t="str">
        <f ca="1">_xlfn.XLOOKUP(C933,Products!A:A,Products!B:B)</f>
        <v>Accessories</v>
      </c>
      <c r="E933" t="str" cm="1">
        <f t="array" aca="1" ref="E933" ca="1">INDEX(Regions!$A$2:$A$7,RANDBETWEEN(1,6))</f>
        <v>Galway</v>
      </c>
      <c r="F933">
        <f t="shared" ca="1" si="58"/>
        <v>3</v>
      </c>
      <c r="G933">
        <f ca="1">VLOOKUP(C933,Products!$A$2:$C$9,3,FALSE)</f>
        <v>25</v>
      </c>
      <c r="H933">
        <f t="shared" ca="1" si="59"/>
        <v>75</v>
      </c>
    </row>
    <row r="934" spans="1:8" x14ac:dyDescent="0.35">
      <c r="A934">
        <f t="shared" si="56"/>
        <v>1933</v>
      </c>
      <c r="B934" s="2">
        <f t="shared" ca="1" si="57"/>
        <v>45556</v>
      </c>
      <c r="C934" t="str" cm="1">
        <f t="array" aca="1" ref="C934" ca="1">INDEX(Products!$A$2:$A$9,RANDBETWEEN(1,8))</f>
        <v>Third Jersey</v>
      </c>
      <c r="D934" t="str">
        <f ca="1">_xlfn.XLOOKUP(C934,Products!A:A,Products!B:B)</f>
        <v>Jerseys</v>
      </c>
      <c r="E934" t="str" cm="1">
        <f t="array" aca="1" ref="E934" ca="1">INDEX(Regions!$A$2:$A$7,RANDBETWEEN(1,6))</f>
        <v>Cork</v>
      </c>
      <c r="F934">
        <f t="shared" ca="1" si="58"/>
        <v>5</v>
      </c>
      <c r="G934">
        <f ca="1">VLOOKUP(C934,Products!$A$2:$C$9,3,FALSE)</f>
        <v>85</v>
      </c>
      <c r="H934">
        <f t="shared" ca="1" si="59"/>
        <v>425</v>
      </c>
    </row>
    <row r="935" spans="1:8" x14ac:dyDescent="0.35">
      <c r="A935">
        <f t="shared" si="56"/>
        <v>1934</v>
      </c>
      <c r="B935" s="2">
        <f t="shared" ca="1" si="57"/>
        <v>45582</v>
      </c>
      <c r="C935" t="str" cm="1">
        <f t="array" aca="1" ref="C935" ca="1">INDEX(Products!$A$2:$A$9,RANDBETWEEN(1,8))</f>
        <v>Jacket</v>
      </c>
      <c r="D935" t="str">
        <f ca="1">_xlfn.XLOOKUP(C935,Products!A:A,Products!B:B)</f>
        <v>Training Wear</v>
      </c>
      <c r="E935" t="str" cm="1">
        <f t="array" aca="1" ref="E935" ca="1">INDEX(Regions!$A$2:$A$7,RANDBETWEEN(1,6))</f>
        <v>Limerick</v>
      </c>
      <c r="F935">
        <f t="shared" ca="1" si="58"/>
        <v>2</v>
      </c>
      <c r="G935">
        <f ca="1">VLOOKUP(C935,Products!$A$2:$C$9,3,FALSE)</f>
        <v>90</v>
      </c>
      <c r="H935">
        <f t="shared" ca="1" si="59"/>
        <v>180</v>
      </c>
    </row>
    <row r="936" spans="1:8" x14ac:dyDescent="0.35">
      <c r="A936">
        <f t="shared" si="56"/>
        <v>1935</v>
      </c>
      <c r="B936" s="2">
        <f t="shared" ca="1" si="57"/>
        <v>45599</v>
      </c>
      <c r="C936" t="str" cm="1">
        <f t="array" aca="1" ref="C936" ca="1">INDEX(Products!$A$2:$A$9,RANDBETWEEN(1,8))</f>
        <v>Football</v>
      </c>
      <c r="D936" t="str">
        <f ca="1">_xlfn.XLOOKUP(C936,Products!A:A,Products!B:B)</f>
        <v>Equipment</v>
      </c>
      <c r="E936" t="str" cm="1">
        <f t="array" aca="1" ref="E936" ca="1">INDEX(Regions!$A$2:$A$7,RANDBETWEEN(1,6))</f>
        <v>Cork</v>
      </c>
      <c r="F936">
        <f t="shared" ca="1" si="58"/>
        <v>1</v>
      </c>
      <c r="G936">
        <f ca="1">VLOOKUP(C936,Products!$A$2:$C$9,3,FALSE)</f>
        <v>30</v>
      </c>
      <c r="H936">
        <f t="shared" ca="1" si="59"/>
        <v>30</v>
      </c>
    </row>
    <row r="937" spans="1:8" x14ac:dyDescent="0.35">
      <c r="A937">
        <f t="shared" si="56"/>
        <v>1936</v>
      </c>
      <c r="B937" s="2">
        <f t="shared" ca="1" si="57"/>
        <v>45845</v>
      </c>
      <c r="C937" t="str" cm="1">
        <f t="array" aca="1" ref="C937" ca="1">INDEX(Products!$A$2:$A$9,RANDBETWEEN(1,8))</f>
        <v>Training Top</v>
      </c>
      <c r="D937" t="str">
        <f ca="1">_xlfn.XLOOKUP(C937,Products!A:A,Products!B:B)</f>
        <v>Training Wear</v>
      </c>
      <c r="E937" t="str" cm="1">
        <f t="array" aca="1" ref="E937" ca="1">INDEX(Regions!$A$2:$A$7,RANDBETWEEN(1,6))</f>
        <v>Waterford</v>
      </c>
      <c r="F937">
        <f t="shared" ca="1" si="58"/>
        <v>2</v>
      </c>
      <c r="G937">
        <f ca="1">VLOOKUP(C937,Products!$A$2:$C$9,3,FALSE)</f>
        <v>55</v>
      </c>
      <c r="H937">
        <f t="shared" ca="1" si="59"/>
        <v>110</v>
      </c>
    </row>
    <row r="938" spans="1:8" x14ac:dyDescent="0.35">
      <c r="A938">
        <f t="shared" si="56"/>
        <v>1937</v>
      </c>
      <c r="B938" s="2">
        <f t="shared" ca="1" si="57"/>
        <v>45340</v>
      </c>
      <c r="C938" t="str" cm="1">
        <f t="array" aca="1" ref="C938" ca="1">INDEX(Products!$A$2:$A$9,RANDBETWEEN(1,8))</f>
        <v>Hat</v>
      </c>
      <c r="D938" t="str">
        <f ca="1">_xlfn.XLOOKUP(C938,Products!A:A,Products!B:B)</f>
        <v>Accessories</v>
      </c>
      <c r="E938" t="str" cm="1">
        <f t="array" aca="1" ref="E938" ca="1">INDEX(Regions!$A$2:$A$7,RANDBETWEEN(1,6))</f>
        <v>Waterford</v>
      </c>
      <c r="F938">
        <f t="shared" ca="1" si="58"/>
        <v>2</v>
      </c>
      <c r="G938">
        <f ca="1">VLOOKUP(C938,Products!$A$2:$C$9,3,FALSE)</f>
        <v>25</v>
      </c>
      <c r="H938">
        <f t="shared" ca="1" si="59"/>
        <v>50</v>
      </c>
    </row>
    <row r="939" spans="1:8" x14ac:dyDescent="0.35">
      <c r="A939">
        <f t="shared" si="56"/>
        <v>1938</v>
      </c>
      <c r="B939" s="2">
        <f t="shared" ca="1" si="57"/>
        <v>45431</v>
      </c>
      <c r="C939" t="str" cm="1">
        <f t="array" aca="1" ref="C939" ca="1">INDEX(Products!$A$2:$A$9,RANDBETWEEN(1,8))</f>
        <v>Away Jersey</v>
      </c>
      <c r="D939" t="str">
        <f ca="1">_xlfn.XLOOKUP(C939,Products!A:A,Products!B:B)</f>
        <v>Jerseys</v>
      </c>
      <c r="E939" t="str" cm="1">
        <f t="array" aca="1" ref="E939" ca="1">INDEX(Regions!$A$2:$A$7,RANDBETWEEN(1,6))</f>
        <v>Cork</v>
      </c>
      <c r="F939">
        <f t="shared" ca="1" si="58"/>
        <v>2</v>
      </c>
      <c r="G939">
        <f ca="1">VLOOKUP(C939,Products!$A$2:$C$9,3,FALSE)</f>
        <v>80</v>
      </c>
      <c r="H939">
        <f t="shared" ca="1" si="59"/>
        <v>160</v>
      </c>
    </row>
    <row r="940" spans="1:8" x14ac:dyDescent="0.35">
      <c r="A940">
        <f t="shared" si="56"/>
        <v>1939</v>
      </c>
      <c r="B940" s="2">
        <f t="shared" ca="1" si="57"/>
        <v>45593</v>
      </c>
      <c r="C940" t="str" cm="1">
        <f t="array" aca="1" ref="C940" ca="1">INDEX(Products!$A$2:$A$9,RANDBETWEEN(1,8))</f>
        <v>Scarf</v>
      </c>
      <c r="D940" t="str">
        <f ca="1">_xlfn.XLOOKUP(C940,Products!A:A,Products!B:B)</f>
        <v>Accessories</v>
      </c>
      <c r="E940" t="str" cm="1">
        <f t="array" aca="1" ref="E940" ca="1">INDEX(Regions!$A$2:$A$7,RANDBETWEEN(1,6))</f>
        <v>Cork</v>
      </c>
      <c r="F940">
        <f t="shared" ca="1" si="58"/>
        <v>3</v>
      </c>
      <c r="G940">
        <f ca="1">VLOOKUP(C940,Products!$A$2:$C$9,3,FALSE)</f>
        <v>20</v>
      </c>
      <c r="H940">
        <f t="shared" ca="1" si="59"/>
        <v>60</v>
      </c>
    </row>
    <row r="941" spans="1:8" x14ac:dyDescent="0.35">
      <c r="A941">
        <f t="shared" si="56"/>
        <v>1940</v>
      </c>
      <c r="B941" s="2">
        <f t="shared" ca="1" si="57"/>
        <v>46011</v>
      </c>
      <c r="C941" t="str" cm="1">
        <f t="array" aca="1" ref="C941" ca="1">INDEX(Products!$A$2:$A$9,RANDBETWEEN(1,8))</f>
        <v>Training Top</v>
      </c>
      <c r="D941" t="str">
        <f ca="1">_xlfn.XLOOKUP(C941,Products!A:A,Products!B:B)</f>
        <v>Training Wear</v>
      </c>
      <c r="E941" t="str" cm="1">
        <f t="array" aca="1" ref="E941" ca="1">INDEX(Regions!$A$2:$A$7,RANDBETWEEN(1,6))</f>
        <v>Belfast</v>
      </c>
      <c r="F941">
        <f t="shared" ca="1" si="58"/>
        <v>4</v>
      </c>
      <c r="G941">
        <f ca="1">VLOOKUP(C941,Products!$A$2:$C$9,3,FALSE)</f>
        <v>55</v>
      </c>
      <c r="H941">
        <f t="shared" ca="1" si="59"/>
        <v>220</v>
      </c>
    </row>
    <row r="942" spans="1:8" x14ac:dyDescent="0.35">
      <c r="A942">
        <f t="shared" si="56"/>
        <v>1941</v>
      </c>
      <c r="B942" s="2">
        <f t="shared" ca="1" si="57"/>
        <v>45360</v>
      </c>
      <c r="C942" t="str" cm="1">
        <f t="array" aca="1" ref="C942" ca="1">INDEX(Products!$A$2:$A$9,RANDBETWEEN(1,8))</f>
        <v>Away Jersey</v>
      </c>
      <c r="D942" t="str">
        <f ca="1">_xlfn.XLOOKUP(C942,Products!A:A,Products!B:B)</f>
        <v>Jerseys</v>
      </c>
      <c r="E942" t="str" cm="1">
        <f t="array" aca="1" ref="E942" ca="1">INDEX(Regions!$A$2:$A$7,RANDBETWEEN(1,6))</f>
        <v>Galway</v>
      </c>
      <c r="F942">
        <f t="shared" ca="1" si="58"/>
        <v>4</v>
      </c>
      <c r="G942">
        <f ca="1">VLOOKUP(C942,Products!$A$2:$C$9,3,FALSE)</f>
        <v>80</v>
      </c>
      <c r="H942">
        <f t="shared" ca="1" si="59"/>
        <v>320</v>
      </c>
    </row>
    <row r="943" spans="1:8" x14ac:dyDescent="0.35">
      <c r="A943">
        <f t="shared" si="56"/>
        <v>1942</v>
      </c>
      <c r="B943" s="2">
        <f t="shared" ca="1" si="57"/>
        <v>45419</v>
      </c>
      <c r="C943" t="str" cm="1">
        <f t="array" aca="1" ref="C943" ca="1">INDEX(Products!$A$2:$A$9,RANDBETWEEN(1,8))</f>
        <v>Third Jersey</v>
      </c>
      <c r="D943" t="str">
        <f ca="1">_xlfn.XLOOKUP(C943,Products!A:A,Products!B:B)</f>
        <v>Jerseys</v>
      </c>
      <c r="E943" t="str" cm="1">
        <f t="array" aca="1" ref="E943" ca="1">INDEX(Regions!$A$2:$A$7,RANDBETWEEN(1,6))</f>
        <v>Cork</v>
      </c>
      <c r="F943">
        <f t="shared" ca="1" si="58"/>
        <v>4</v>
      </c>
      <c r="G943">
        <f ca="1">VLOOKUP(C943,Products!$A$2:$C$9,3,FALSE)</f>
        <v>85</v>
      </c>
      <c r="H943">
        <f t="shared" ca="1" si="59"/>
        <v>340</v>
      </c>
    </row>
    <row r="944" spans="1:8" x14ac:dyDescent="0.35">
      <c r="A944">
        <f t="shared" si="56"/>
        <v>1943</v>
      </c>
      <c r="B944" s="2">
        <f t="shared" ca="1" si="57"/>
        <v>45815</v>
      </c>
      <c r="C944" t="str" cm="1">
        <f t="array" aca="1" ref="C944" ca="1">INDEX(Products!$A$2:$A$9,RANDBETWEEN(1,8))</f>
        <v>Jacket</v>
      </c>
      <c r="D944" t="str">
        <f ca="1">_xlfn.XLOOKUP(C944,Products!A:A,Products!B:B)</f>
        <v>Training Wear</v>
      </c>
      <c r="E944" t="str" cm="1">
        <f t="array" aca="1" ref="E944" ca="1">INDEX(Regions!$A$2:$A$7,RANDBETWEEN(1,6))</f>
        <v>Waterford</v>
      </c>
      <c r="F944">
        <f t="shared" ca="1" si="58"/>
        <v>4</v>
      </c>
      <c r="G944">
        <f ca="1">VLOOKUP(C944,Products!$A$2:$C$9,3,FALSE)</f>
        <v>90</v>
      </c>
      <c r="H944">
        <f t="shared" ca="1" si="59"/>
        <v>360</v>
      </c>
    </row>
    <row r="945" spans="1:8" x14ac:dyDescent="0.35">
      <c r="A945">
        <f t="shared" si="56"/>
        <v>1944</v>
      </c>
      <c r="B945" s="2">
        <f t="shared" ca="1" si="57"/>
        <v>45946</v>
      </c>
      <c r="C945" t="str" cm="1">
        <f t="array" aca="1" ref="C945" ca="1">INDEX(Products!$A$2:$A$9,RANDBETWEEN(1,8))</f>
        <v>Third Jersey</v>
      </c>
      <c r="D945" t="str">
        <f ca="1">_xlfn.XLOOKUP(C945,Products!A:A,Products!B:B)</f>
        <v>Jerseys</v>
      </c>
      <c r="E945" t="str" cm="1">
        <f t="array" aca="1" ref="E945" ca="1">INDEX(Regions!$A$2:$A$7,RANDBETWEEN(1,6))</f>
        <v>Belfast</v>
      </c>
      <c r="F945">
        <f t="shared" ca="1" si="58"/>
        <v>3</v>
      </c>
      <c r="G945">
        <f ca="1">VLOOKUP(C945,Products!$A$2:$C$9,3,FALSE)</f>
        <v>85</v>
      </c>
      <c r="H945">
        <f t="shared" ca="1" si="59"/>
        <v>255</v>
      </c>
    </row>
    <row r="946" spans="1:8" x14ac:dyDescent="0.35">
      <c r="A946">
        <f t="shared" si="56"/>
        <v>1945</v>
      </c>
      <c r="B946" s="2">
        <f t="shared" ca="1" si="57"/>
        <v>45649</v>
      </c>
      <c r="C946" t="str" cm="1">
        <f t="array" aca="1" ref="C946" ca="1">INDEX(Products!$A$2:$A$9,RANDBETWEEN(1,8))</f>
        <v>Third Jersey</v>
      </c>
      <c r="D946" t="str">
        <f ca="1">_xlfn.XLOOKUP(C946,Products!A:A,Products!B:B)</f>
        <v>Jerseys</v>
      </c>
      <c r="E946" t="str" cm="1">
        <f t="array" aca="1" ref="E946" ca="1">INDEX(Regions!$A$2:$A$7,RANDBETWEEN(1,6))</f>
        <v>Waterford</v>
      </c>
      <c r="F946">
        <f t="shared" ca="1" si="58"/>
        <v>4</v>
      </c>
      <c r="G946">
        <f ca="1">VLOOKUP(C946,Products!$A$2:$C$9,3,FALSE)</f>
        <v>85</v>
      </c>
      <c r="H946">
        <f t="shared" ca="1" si="59"/>
        <v>340</v>
      </c>
    </row>
    <row r="947" spans="1:8" x14ac:dyDescent="0.35">
      <c r="A947">
        <f t="shared" si="56"/>
        <v>1946</v>
      </c>
      <c r="B947" s="2">
        <f t="shared" ca="1" si="57"/>
        <v>45860</v>
      </c>
      <c r="C947" t="str" cm="1">
        <f t="array" aca="1" ref="C947" ca="1">INDEX(Products!$A$2:$A$9,RANDBETWEEN(1,8))</f>
        <v>Hat</v>
      </c>
      <c r="D947" t="str">
        <f ca="1">_xlfn.XLOOKUP(C947,Products!A:A,Products!B:B)</f>
        <v>Accessories</v>
      </c>
      <c r="E947" t="str" cm="1">
        <f t="array" aca="1" ref="E947" ca="1">INDEX(Regions!$A$2:$A$7,RANDBETWEEN(1,6))</f>
        <v>Galway</v>
      </c>
      <c r="F947">
        <f t="shared" ca="1" si="58"/>
        <v>5</v>
      </c>
      <c r="G947">
        <f ca="1">VLOOKUP(C947,Products!$A$2:$C$9,3,FALSE)</f>
        <v>25</v>
      </c>
      <c r="H947">
        <f t="shared" ca="1" si="59"/>
        <v>125</v>
      </c>
    </row>
    <row r="948" spans="1:8" x14ac:dyDescent="0.35">
      <c r="A948">
        <f t="shared" si="56"/>
        <v>1947</v>
      </c>
      <c r="B948" s="2">
        <f t="shared" ca="1" si="57"/>
        <v>45649</v>
      </c>
      <c r="C948" t="str" cm="1">
        <f t="array" aca="1" ref="C948" ca="1">INDEX(Products!$A$2:$A$9,RANDBETWEEN(1,8))</f>
        <v>Away Jersey</v>
      </c>
      <c r="D948" t="str">
        <f ca="1">_xlfn.XLOOKUP(C948,Products!A:A,Products!B:B)</f>
        <v>Jerseys</v>
      </c>
      <c r="E948" t="str" cm="1">
        <f t="array" aca="1" ref="E948" ca="1">INDEX(Regions!$A$2:$A$7,RANDBETWEEN(1,6))</f>
        <v>Dublin</v>
      </c>
      <c r="F948">
        <f t="shared" ca="1" si="58"/>
        <v>3</v>
      </c>
      <c r="G948">
        <f ca="1">VLOOKUP(C948,Products!$A$2:$C$9,3,FALSE)</f>
        <v>80</v>
      </c>
      <c r="H948">
        <f t="shared" ca="1" si="59"/>
        <v>240</v>
      </c>
    </row>
    <row r="949" spans="1:8" x14ac:dyDescent="0.35">
      <c r="A949">
        <f t="shared" si="56"/>
        <v>1948</v>
      </c>
      <c r="B949" s="2">
        <f t="shared" ca="1" si="57"/>
        <v>45957</v>
      </c>
      <c r="C949" t="str" cm="1">
        <f t="array" aca="1" ref="C949" ca="1">INDEX(Products!$A$2:$A$9,RANDBETWEEN(1,8))</f>
        <v>Away Jersey</v>
      </c>
      <c r="D949" t="str">
        <f ca="1">_xlfn.XLOOKUP(C949,Products!A:A,Products!B:B)</f>
        <v>Jerseys</v>
      </c>
      <c r="E949" t="str" cm="1">
        <f t="array" aca="1" ref="E949" ca="1">INDEX(Regions!$A$2:$A$7,RANDBETWEEN(1,6))</f>
        <v>Galway</v>
      </c>
      <c r="F949">
        <f t="shared" ca="1" si="58"/>
        <v>1</v>
      </c>
      <c r="G949">
        <f ca="1">VLOOKUP(C949,Products!$A$2:$C$9,3,FALSE)</f>
        <v>80</v>
      </c>
      <c r="H949">
        <f t="shared" ca="1" si="59"/>
        <v>80</v>
      </c>
    </row>
    <row r="950" spans="1:8" x14ac:dyDescent="0.35">
      <c r="A950">
        <f t="shared" si="56"/>
        <v>1949</v>
      </c>
      <c r="B950" s="2">
        <f t="shared" ca="1" si="57"/>
        <v>45813</v>
      </c>
      <c r="C950" t="str" cm="1">
        <f t="array" aca="1" ref="C950" ca="1">INDEX(Products!$A$2:$A$9,RANDBETWEEN(1,8))</f>
        <v>Jacket</v>
      </c>
      <c r="D950" t="str">
        <f ca="1">_xlfn.XLOOKUP(C950,Products!A:A,Products!B:B)</f>
        <v>Training Wear</v>
      </c>
      <c r="E950" t="str" cm="1">
        <f t="array" aca="1" ref="E950" ca="1">INDEX(Regions!$A$2:$A$7,RANDBETWEEN(1,6))</f>
        <v>Belfast</v>
      </c>
      <c r="F950">
        <f t="shared" ca="1" si="58"/>
        <v>1</v>
      </c>
      <c r="G950">
        <f ca="1">VLOOKUP(C950,Products!$A$2:$C$9,3,FALSE)</f>
        <v>90</v>
      </c>
      <c r="H950">
        <f t="shared" ca="1" si="59"/>
        <v>90</v>
      </c>
    </row>
    <row r="951" spans="1:8" x14ac:dyDescent="0.35">
      <c r="A951">
        <f t="shared" si="56"/>
        <v>1950</v>
      </c>
      <c r="B951" s="2">
        <f t="shared" ca="1" si="57"/>
        <v>45545</v>
      </c>
      <c r="C951" t="str" cm="1">
        <f t="array" aca="1" ref="C951" ca="1">INDEX(Products!$A$2:$A$9,RANDBETWEEN(1,8))</f>
        <v>Home Jersey</v>
      </c>
      <c r="D951" t="str">
        <f ca="1">_xlfn.XLOOKUP(C951,Products!A:A,Products!B:B)</f>
        <v>Jerseys</v>
      </c>
      <c r="E951" t="str" cm="1">
        <f t="array" aca="1" ref="E951" ca="1">INDEX(Regions!$A$2:$A$7,RANDBETWEEN(1,6))</f>
        <v>Waterford</v>
      </c>
      <c r="F951">
        <f t="shared" ca="1" si="58"/>
        <v>1</v>
      </c>
      <c r="G951">
        <f ca="1">VLOOKUP(C951,Products!$A$2:$C$9,3,FALSE)</f>
        <v>80</v>
      </c>
      <c r="H951">
        <f t="shared" ca="1" si="59"/>
        <v>80</v>
      </c>
    </row>
    <row r="952" spans="1:8" x14ac:dyDescent="0.35">
      <c r="A952">
        <f t="shared" si="56"/>
        <v>1951</v>
      </c>
      <c r="B952" s="2">
        <f t="shared" ca="1" si="57"/>
        <v>45887</v>
      </c>
      <c r="C952" t="str" cm="1">
        <f t="array" aca="1" ref="C952" ca="1">INDEX(Products!$A$2:$A$9,RANDBETWEEN(1,8))</f>
        <v>Training Top</v>
      </c>
      <c r="D952" t="str">
        <f ca="1">_xlfn.XLOOKUP(C952,Products!A:A,Products!B:B)</f>
        <v>Training Wear</v>
      </c>
      <c r="E952" t="str" cm="1">
        <f t="array" aca="1" ref="E952" ca="1">INDEX(Regions!$A$2:$A$7,RANDBETWEEN(1,6))</f>
        <v>Limerick</v>
      </c>
      <c r="F952">
        <f t="shared" ca="1" si="58"/>
        <v>1</v>
      </c>
      <c r="G952">
        <f ca="1">VLOOKUP(C952,Products!$A$2:$C$9,3,FALSE)</f>
        <v>55</v>
      </c>
      <c r="H952">
        <f t="shared" ca="1" si="59"/>
        <v>55</v>
      </c>
    </row>
    <row r="953" spans="1:8" x14ac:dyDescent="0.35">
      <c r="A953">
        <f t="shared" si="56"/>
        <v>1952</v>
      </c>
      <c r="B953" s="2">
        <f t="shared" ca="1" si="57"/>
        <v>45359</v>
      </c>
      <c r="C953" t="str" cm="1">
        <f t="array" aca="1" ref="C953" ca="1">INDEX(Products!$A$2:$A$9,RANDBETWEEN(1,8))</f>
        <v>Third Jersey</v>
      </c>
      <c r="D953" t="str">
        <f ca="1">_xlfn.XLOOKUP(C953,Products!A:A,Products!B:B)</f>
        <v>Jerseys</v>
      </c>
      <c r="E953" t="str" cm="1">
        <f t="array" aca="1" ref="E953" ca="1">INDEX(Regions!$A$2:$A$7,RANDBETWEEN(1,6))</f>
        <v>Cork</v>
      </c>
      <c r="F953">
        <f t="shared" ca="1" si="58"/>
        <v>1</v>
      </c>
      <c r="G953">
        <f ca="1">VLOOKUP(C953,Products!$A$2:$C$9,3,FALSE)</f>
        <v>85</v>
      </c>
      <c r="H953">
        <f t="shared" ca="1" si="59"/>
        <v>85</v>
      </c>
    </row>
    <row r="954" spans="1:8" x14ac:dyDescent="0.35">
      <c r="A954">
        <f t="shared" si="56"/>
        <v>1953</v>
      </c>
      <c r="B954" s="2">
        <f t="shared" ca="1" si="57"/>
        <v>45423</v>
      </c>
      <c r="C954" t="str" cm="1">
        <f t="array" aca="1" ref="C954" ca="1">INDEX(Products!$A$2:$A$9,RANDBETWEEN(1,8))</f>
        <v>Away Jersey</v>
      </c>
      <c r="D954" t="str">
        <f ca="1">_xlfn.XLOOKUP(C954,Products!A:A,Products!B:B)</f>
        <v>Jerseys</v>
      </c>
      <c r="E954" t="str" cm="1">
        <f t="array" aca="1" ref="E954" ca="1">INDEX(Regions!$A$2:$A$7,RANDBETWEEN(1,6))</f>
        <v>Limerick</v>
      </c>
      <c r="F954">
        <f t="shared" ca="1" si="58"/>
        <v>1</v>
      </c>
      <c r="G954">
        <f ca="1">VLOOKUP(C954,Products!$A$2:$C$9,3,FALSE)</f>
        <v>80</v>
      </c>
      <c r="H954">
        <f t="shared" ca="1" si="59"/>
        <v>80</v>
      </c>
    </row>
    <row r="955" spans="1:8" x14ac:dyDescent="0.35">
      <c r="A955">
        <f t="shared" si="56"/>
        <v>1954</v>
      </c>
      <c r="B955" s="2">
        <f t="shared" ca="1" si="57"/>
        <v>46013</v>
      </c>
      <c r="C955" t="str" cm="1">
        <f t="array" aca="1" ref="C955" ca="1">INDEX(Products!$A$2:$A$9,RANDBETWEEN(1,8))</f>
        <v>Training Top</v>
      </c>
      <c r="D955" t="str">
        <f ca="1">_xlfn.XLOOKUP(C955,Products!A:A,Products!B:B)</f>
        <v>Training Wear</v>
      </c>
      <c r="E955" t="str" cm="1">
        <f t="array" aca="1" ref="E955" ca="1">INDEX(Regions!$A$2:$A$7,RANDBETWEEN(1,6))</f>
        <v>Belfast</v>
      </c>
      <c r="F955">
        <f t="shared" ca="1" si="58"/>
        <v>2</v>
      </c>
      <c r="G955">
        <f ca="1">VLOOKUP(C955,Products!$A$2:$C$9,3,FALSE)</f>
        <v>55</v>
      </c>
      <c r="H955">
        <f t="shared" ca="1" si="59"/>
        <v>110</v>
      </c>
    </row>
    <row r="956" spans="1:8" x14ac:dyDescent="0.35">
      <c r="A956">
        <f t="shared" si="56"/>
        <v>1955</v>
      </c>
      <c r="B956" s="2">
        <f t="shared" ca="1" si="57"/>
        <v>45562</v>
      </c>
      <c r="C956" t="str" cm="1">
        <f t="array" aca="1" ref="C956" ca="1">INDEX(Products!$A$2:$A$9,RANDBETWEEN(1,8))</f>
        <v>Away Jersey</v>
      </c>
      <c r="D956" t="str">
        <f ca="1">_xlfn.XLOOKUP(C956,Products!A:A,Products!B:B)</f>
        <v>Jerseys</v>
      </c>
      <c r="E956" t="str" cm="1">
        <f t="array" aca="1" ref="E956" ca="1">INDEX(Regions!$A$2:$A$7,RANDBETWEEN(1,6))</f>
        <v>Limerick</v>
      </c>
      <c r="F956">
        <f t="shared" ca="1" si="58"/>
        <v>2</v>
      </c>
      <c r="G956">
        <f ca="1">VLOOKUP(C956,Products!$A$2:$C$9,3,FALSE)</f>
        <v>80</v>
      </c>
      <c r="H956">
        <f t="shared" ca="1" si="59"/>
        <v>160</v>
      </c>
    </row>
    <row r="957" spans="1:8" x14ac:dyDescent="0.35">
      <c r="A957">
        <f t="shared" si="56"/>
        <v>1956</v>
      </c>
      <c r="B957" s="2">
        <f t="shared" ca="1" si="57"/>
        <v>45366</v>
      </c>
      <c r="C957" t="str" cm="1">
        <f t="array" aca="1" ref="C957" ca="1">INDEX(Products!$A$2:$A$9,RANDBETWEEN(1,8))</f>
        <v>Third Jersey</v>
      </c>
      <c r="D957" t="str">
        <f ca="1">_xlfn.XLOOKUP(C957,Products!A:A,Products!B:B)</f>
        <v>Jerseys</v>
      </c>
      <c r="E957" t="str" cm="1">
        <f t="array" aca="1" ref="E957" ca="1">INDEX(Regions!$A$2:$A$7,RANDBETWEEN(1,6))</f>
        <v>Belfast</v>
      </c>
      <c r="F957">
        <f t="shared" ca="1" si="58"/>
        <v>2</v>
      </c>
      <c r="G957">
        <f ca="1">VLOOKUP(C957,Products!$A$2:$C$9,3,FALSE)</f>
        <v>85</v>
      </c>
      <c r="H957">
        <f t="shared" ca="1" si="59"/>
        <v>170</v>
      </c>
    </row>
    <row r="958" spans="1:8" x14ac:dyDescent="0.35">
      <c r="A958">
        <f t="shared" si="56"/>
        <v>1957</v>
      </c>
      <c r="B958" s="2">
        <f t="shared" ca="1" si="57"/>
        <v>45496</v>
      </c>
      <c r="C958" t="str" cm="1">
        <f t="array" aca="1" ref="C958" ca="1">INDEX(Products!$A$2:$A$9,RANDBETWEEN(1,8))</f>
        <v>Training Top</v>
      </c>
      <c r="D958" t="str">
        <f ca="1">_xlfn.XLOOKUP(C958,Products!A:A,Products!B:B)</f>
        <v>Training Wear</v>
      </c>
      <c r="E958" t="str" cm="1">
        <f t="array" aca="1" ref="E958" ca="1">INDEX(Regions!$A$2:$A$7,RANDBETWEEN(1,6))</f>
        <v>Cork</v>
      </c>
      <c r="F958">
        <f t="shared" ca="1" si="58"/>
        <v>4</v>
      </c>
      <c r="G958">
        <f ca="1">VLOOKUP(C958,Products!$A$2:$C$9,3,FALSE)</f>
        <v>55</v>
      </c>
      <c r="H958">
        <f t="shared" ca="1" si="59"/>
        <v>220</v>
      </c>
    </row>
    <row r="959" spans="1:8" x14ac:dyDescent="0.35">
      <c r="A959">
        <f t="shared" si="56"/>
        <v>1958</v>
      </c>
      <c r="B959" s="2">
        <f t="shared" ca="1" si="57"/>
        <v>45960</v>
      </c>
      <c r="C959" t="str" cm="1">
        <f t="array" aca="1" ref="C959" ca="1">INDEX(Products!$A$2:$A$9,RANDBETWEEN(1,8))</f>
        <v>Training Top</v>
      </c>
      <c r="D959" t="str">
        <f ca="1">_xlfn.XLOOKUP(C959,Products!A:A,Products!B:B)</f>
        <v>Training Wear</v>
      </c>
      <c r="E959" t="str" cm="1">
        <f t="array" aca="1" ref="E959" ca="1">INDEX(Regions!$A$2:$A$7,RANDBETWEEN(1,6))</f>
        <v>Cork</v>
      </c>
      <c r="F959">
        <f t="shared" ca="1" si="58"/>
        <v>3</v>
      </c>
      <c r="G959">
        <f ca="1">VLOOKUP(C959,Products!$A$2:$C$9,3,FALSE)</f>
        <v>55</v>
      </c>
      <c r="H959">
        <f t="shared" ca="1" si="59"/>
        <v>165</v>
      </c>
    </row>
    <row r="960" spans="1:8" x14ac:dyDescent="0.35">
      <c r="A960">
        <f t="shared" si="56"/>
        <v>1959</v>
      </c>
      <c r="B960" s="2">
        <f t="shared" ca="1" si="57"/>
        <v>45745</v>
      </c>
      <c r="C960" t="str" cm="1">
        <f t="array" aca="1" ref="C960" ca="1">INDEX(Products!$A$2:$A$9,RANDBETWEEN(1,8))</f>
        <v>Home Jersey</v>
      </c>
      <c r="D960" t="str">
        <f ca="1">_xlfn.XLOOKUP(C960,Products!A:A,Products!B:B)</f>
        <v>Jerseys</v>
      </c>
      <c r="E960" t="str" cm="1">
        <f t="array" aca="1" ref="E960" ca="1">INDEX(Regions!$A$2:$A$7,RANDBETWEEN(1,6))</f>
        <v>Waterford</v>
      </c>
      <c r="F960">
        <f t="shared" ca="1" si="58"/>
        <v>3</v>
      </c>
      <c r="G960">
        <f ca="1">VLOOKUP(C960,Products!$A$2:$C$9,3,FALSE)</f>
        <v>80</v>
      </c>
      <c r="H960">
        <f t="shared" ca="1" si="59"/>
        <v>240</v>
      </c>
    </row>
    <row r="961" spans="1:8" x14ac:dyDescent="0.35">
      <c r="A961">
        <f t="shared" si="56"/>
        <v>1960</v>
      </c>
      <c r="B961" s="2">
        <f t="shared" ca="1" si="57"/>
        <v>45981</v>
      </c>
      <c r="C961" t="str" cm="1">
        <f t="array" aca="1" ref="C961" ca="1">INDEX(Products!$A$2:$A$9,RANDBETWEEN(1,8))</f>
        <v>Training Top</v>
      </c>
      <c r="D961" t="str">
        <f ca="1">_xlfn.XLOOKUP(C961,Products!A:A,Products!B:B)</f>
        <v>Training Wear</v>
      </c>
      <c r="E961" t="str" cm="1">
        <f t="array" aca="1" ref="E961" ca="1">INDEX(Regions!$A$2:$A$7,RANDBETWEEN(1,6))</f>
        <v>Belfast</v>
      </c>
      <c r="F961">
        <f t="shared" ca="1" si="58"/>
        <v>4</v>
      </c>
      <c r="G961">
        <f ca="1">VLOOKUP(C961,Products!$A$2:$C$9,3,FALSE)</f>
        <v>55</v>
      </c>
      <c r="H961">
        <f t="shared" ca="1" si="59"/>
        <v>220</v>
      </c>
    </row>
    <row r="962" spans="1:8" x14ac:dyDescent="0.35">
      <c r="A962">
        <f t="shared" si="56"/>
        <v>1961</v>
      </c>
      <c r="B962" s="2">
        <f t="shared" ca="1" si="57"/>
        <v>45394</v>
      </c>
      <c r="C962" t="str" cm="1">
        <f t="array" aca="1" ref="C962" ca="1">INDEX(Products!$A$2:$A$9,RANDBETWEEN(1,8))</f>
        <v>Home Jersey</v>
      </c>
      <c r="D962" t="str">
        <f ca="1">_xlfn.XLOOKUP(C962,Products!A:A,Products!B:B)</f>
        <v>Jerseys</v>
      </c>
      <c r="E962" t="str" cm="1">
        <f t="array" aca="1" ref="E962" ca="1">INDEX(Regions!$A$2:$A$7,RANDBETWEEN(1,6))</f>
        <v>Waterford</v>
      </c>
      <c r="F962">
        <f t="shared" ca="1" si="58"/>
        <v>4</v>
      </c>
      <c r="G962">
        <f ca="1">VLOOKUP(C962,Products!$A$2:$C$9,3,FALSE)</f>
        <v>80</v>
      </c>
      <c r="H962">
        <f t="shared" ca="1" si="59"/>
        <v>320</v>
      </c>
    </row>
    <row r="963" spans="1:8" x14ac:dyDescent="0.35">
      <c r="A963">
        <f t="shared" ref="A963:A1001" si="60">ROW()+999</f>
        <v>1962</v>
      </c>
      <c r="B963" s="2">
        <f t="shared" ref="B963:B1001" ca="1" si="61">DATE(2024,1,1)+RANDBETWEEN(0,730)</f>
        <v>45895</v>
      </c>
      <c r="C963" t="str" cm="1">
        <f t="array" aca="1" ref="C963" ca="1">INDEX(Products!$A$2:$A$9,RANDBETWEEN(1,8))</f>
        <v>Third Jersey</v>
      </c>
      <c r="D963" t="str">
        <f ca="1">_xlfn.XLOOKUP(C963,Products!A:A,Products!B:B)</f>
        <v>Jerseys</v>
      </c>
      <c r="E963" t="str" cm="1">
        <f t="array" aca="1" ref="E963" ca="1">INDEX(Regions!$A$2:$A$7,RANDBETWEEN(1,6))</f>
        <v>Limerick</v>
      </c>
      <c r="F963">
        <f t="shared" ref="F963:F1001" ca="1" si="62">RANDBETWEEN(1,5)</f>
        <v>5</v>
      </c>
      <c r="G963">
        <f ca="1">VLOOKUP(C963,Products!$A$2:$C$9,3,FALSE)</f>
        <v>85</v>
      </c>
      <c r="H963">
        <f t="shared" ref="H963:H1000" ca="1" si="63">F963*G963</f>
        <v>425</v>
      </c>
    </row>
    <row r="964" spans="1:8" x14ac:dyDescent="0.35">
      <c r="A964">
        <f t="shared" si="60"/>
        <v>1963</v>
      </c>
      <c r="B964" s="2">
        <f t="shared" ca="1" si="61"/>
        <v>45824</v>
      </c>
      <c r="C964" t="str" cm="1">
        <f t="array" aca="1" ref="C964" ca="1">INDEX(Products!$A$2:$A$9,RANDBETWEEN(1,8))</f>
        <v>Training Top</v>
      </c>
      <c r="D964" t="str">
        <f ca="1">_xlfn.XLOOKUP(C964,Products!A:A,Products!B:B)</f>
        <v>Training Wear</v>
      </c>
      <c r="E964" t="str" cm="1">
        <f t="array" aca="1" ref="E964" ca="1">INDEX(Regions!$A$2:$A$7,RANDBETWEEN(1,6))</f>
        <v>Limerick</v>
      </c>
      <c r="F964">
        <f t="shared" ca="1" si="62"/>
        <v>5</v>
      </c>
      <c r="G964">
        <f ca="1">VLOOKUP(C964,Products!$A$2:$C$9,3,FALSE)</f>
        <v>55</v>
      </c>
      <c r="H964">
        <f t="shared" ca="1" si="63"/>
        <v>275</v>
      </c>
    </row>
    <row r="965" spans="1:8" x14ac:dyDescent="0.35">
      <c r="A965">
        <f t="shared" si="60"/>
        <v>1964</v>
      </c>
      <c r="B965" s="2">
        <f t="shared" ca="1" si="61"/>
        <v>45374</v>
      </c>
      <c r="C965" t="str" cm="1">
        <f t="array" aca="1" ref="C965" ca="1">INDEX(Products!$A$2:$A$9,RANDBETWEEN(1,8))</f>
        <v>Home Jersey</v>
      </c>
      <c r="D965" t="str">
        <f ca="1">_xlfn.XLOOKUP(C965,Products!A:A,Products!B:B)</f>
        <v>Jerseys</v>
      </c>
      <c r="E965" t="str" cm="1">
        <f t="array" aca="1" ref="E965" ca="1">INDEX(Regions!$A$2:$A$7,RANDBETWEEN(1,6))</f>
        <v>Dublin</v>
      </c>
      <c r="F965">
        <f t="shared" ca="1" si="62"/>
        <v>4</v>
      </c>
      <c r="G965">
        <f ca="1">VLOOKUP(C965,Products!$A$2:$C$9,3,FALSE)</f>
        <v>80</v>
      </c>
      <c r="H965">
        <f t="shared" ca="1" si="63"/>
        <v>320</v>
      </c>
    </row>
    <row r="966" spans="1:8" x14ac:dyDescent="0.35">
      <c r="A966">
        <f t="shared" si="60"/>
        <v>1965</v>
      </c>
      <c r="B966" s="2">
        <f t="shared" ca="1" si="61"/>
        <v>45592</v>
      </c>
      <c r="C966" t="str" cm="1">
        <f t="array" aca="1" ref="C966" ca="1">INDEX(Products!$A$2:$A$9,RANDBETWEEN(1,8))</f>
        <v>Training Top</v>
      </c>
      <c r="D966" t="str">
        <f ca="1">_xlfn.XLOOKUP(C966,Products!A:A,Products!B:B)</f>
        <v>Training Wear</v>
      </c>
      <c r="E966" t="str" cm="1">
        <f t="array" aca="1" ref="E966" ca="1">INDEX(Regions!$A$2:$A$7,RANDBETWEEN(1,6))</f>
        <v>Galway</v>
      </c>
      <c r="F966">
        <f t="shared" ca="1" si="62"/>
        <v>3</v>
      </c>
      <c r="G966">
        <f ca="1">VLOOKUP(C966,Products!$A$2:$C$9,3,FALSE)</f>
        <v>55</v>
      </c>
      <c r="H966">
        <f t="shared" ca="1" si="63"/>
        <v>165</v>
      </c>
    </row>
    <row r="967" spans="1:8" x14ac:dyDescent="0.35">
      <c r="A967">
        <f t="shared" si="60"/>
        <v>1966</v>
      </c>
      <c r="B967" s="2">
        <f t="shared" ca="1" si="61"/>
        <v>45657</v>
      </c>
      <c r="C967" t="str" cm="1">
        <f t="array" aca="1" ref="C967" ca="1">INDEX(Products!$A$2:$A$9,RANDBETWEEN(1,8))</f>
        <v>Third Jersey</v>
      </c>
      <c r="D967" t="str">
        <f ca="1">_xlfn.XLOOKUP(C967,Products!A:A,Products!B:B)</f>
        <v>Jerseys</v>
      </c>
      <c r="E967" t="str" cm="1">
        <f t="array" aca="1" ref="E967" ca="1">INDEX(Regions!$A$2:$A$7,RANDBETWEEN(1,6))</f>
        <v>Waterford</v>
      </c>
      <c r="F967">
        <f t="shared" ca="1" si="62"/>
        <v>3</v>
      </c>
      <c r="G967">
        <f ca="1">VLOOKUP(C967,Products!$A$2:$C$9,3,FALSE)</f>
        <v>85</v>
      </c>
      <c r="H967">
        <f t="shared" ca="1" si="63"/>
        <v>255</v>
      </c>
    </row>
    <row r="968" spans="1:8" x14ac:dyDescent="0.35">
      <c r="A968">
        <f t="shared" si="60"/>
        <v>1967</v>
      </c>
      <c r="B968" s="2">
        <f t="shared" ca="1" si="61"/>
        <v>45411</v>
      </c>
      <c r="C968" t="str" cm="1">
        <f t="array" aca="1" ref="C968" ca="1">INDEX(Products!$A$2:$A$9,RANDBETWEEN(1,8))</f>
        <v>Jacket</v>
      </c>
      <c r="D968" t="str">
        <f ca="1">_xlfn.XLOOKUP(C968,Products!A:A,Products!B:B)</f>
        <v>Training Wear</v>
      </c>
      <c r="E968" t="str" cm="1">
        <f t="array" aca="1" ref="E968" ca="1">INDEX(Regions!$A$2:$A$7,RANDBETWEEN(1,6))</f>
        <v>Limerick</v>
      </c>
      <c r="F968">
        <f t="shared" ca="1" si="62"/>
        <v>4</v>
      </c>
      <c r="G968">
        <f ca="1">VLOOKUP(C968,Products!$A$2:$C$9,3,FALSE)</f>
        <v>90</v>
      </c>
      <c r="H968">
        <f t="shared" ca="1" si="63"/>
        <v>360</v>
      </c>
    </row>
    <row r="969" spans="1:8" x14ac:dyDescent="0.35">
      <c r="A969">
        <f t="shared" si="60"/>
        <v>1968</v>
      </c>
      <c r="B969" s="2">
        <f t="shared" ca="1" si="61"/>
        <v>45602</v>
      </c>
      <c r="C969" t="str" cm="1">
        <f t="array" aca="1" ref="C969" ca="1">INDEX(Products!$A$2:$A$9,RANDBETWEEN(1,8))</f>
        <v>Scarf</v>
      </c>
      <c r="D969" t="str">
        <f ca="1">_xlfn.XLOOKUP(C969,Products!A:A,Products!B:B)</f>
        <v>Accessories</v>
      </c>
      <c r="E969" t="str" cm="1">
        <f t="array" aca="1" ref="E969" ca="1">INDEX(Regions!$A$2:$A$7,RANDBETWEEN(1,6))</f>
        <v>Belfast</v>
      </c>
      <c r="F969">
        <f t="shared" ca="1" si="62"/>
        <v>2</v>
      </c>
      <c r="G969">
        <f ca="1">VLOOKUP(C969,Products!$A$2:$C$9,3,FALSE)</f>
        <v>20</v>
      </c>
      <c r="H969">
        <f t="shared" ca="1" si="63"/>
        <v>40</v>
      </c>
    </row>
    <row r="970" spans="1:8" x14ac:dyDescent="0.35">
      <c r="A970">
        <f t="shared" si="60"/>
        <v>1969</v>
      </c>
      <c r="B970" s="2">
        <f t="shared" ca="1" si="61"/>
        <v>45473</v>
      </c>
      <c r="C970" t="str" cm="1">
        <f t="array" aca="1" ref="C970" ca="1">INDEX(Products!$A$2:$A$9,RANDBETWEEN(1,8))</f>
        <v>Third Jersey</v>
      </c>
      <c r="D970" t="str">
        <f ca="1">_xlfn.XLOOKUP(C970,Products!A:A,Products!B:B)</f>
        <v>Jerseys</v>
      </c>
      <c r="E970" t="str" cm="1">
        <f t="array" aca="1" ref="E970" ca="1">INDEX(Regions!$A$2:$A$7,RANDBETWEEN(1,6))</f>
        <v>Limerick</v>
      </c>
      <c r="F970">
        <f t="shared" ca="1" si="62"/>
        <v>5</v>
      </c>
      <c r="G970">
        <f ca="1">VLOOKUP(C970,Products!$A$2:$C$9,3,FALSE)</f>
        <v>85</v>
      </c>
      <c r="H970">
        <f t="shared" ca="1" si="63"/>
        <v>425</v>
      </c>
    </row>
    <row r="971" spans="1:8" x14ac:dyDescent="0.35">
      <c r="A971">
        <f t="shared" si="60"/>
        <v>1970</v>
      </c>
      <c r="B971" s="2">
        <f t="shared" ca="1" si="61"/>
        <v>45596</v>
      </c>
      <c r="C971" t="str" cm="1">
        <f t="array" aca="1" ref="C971" ca="1">INDEX(Products!$A$2:$A$9,RANDBETWEEN(1,8))</f>
        <v>Away Jersey</v>
      </c>
      <c r="D971" t="str">
        <f ca="1">_xlfn.XLOOKUP(C971,Products!A:A,Products!B:B)</f>
        <v>Jerseys</v>
      </c>
      <c r="E971" t="str" cm="1">
        <f t="array" aca="1" ref="E971" ca="1">INDEX(Regions!$A$2:$A$7,RANDBETWEEN(1,6))</f>
        <v>Waterford</v>
      </c>
      <c r="F971">
        <f t="shared" ca="1" si="62"/>
        <v>5</v>
      </c>
      <c r="G971">
        <f ca="1">VLOOKUP(C971,Products!$A$2:$C$9,3,FALSE)</f>
        <v>80</v>
      </c>
      <c r="H971">
        <f t="shared" ca="1" si="63"/>
        <v>400</v>
      </c>
    </row>
    <row r="972" spans="1:8" x14ac:dyDescent="0.35">
      <c r="A972">
        <f t="shared" si="60"/>
        <v>1971</v>
      </c>
      <c r="B972" s="2">
        <f t="shared" ca="1" si="61"/>
        <v>45501</v>
      </c>
      <c r="C972" t="str" cm="1">
        <f t="array" aca="1" ref="C972" ca="1">INDEX(Products!$A$2:$A$9,RANDBETWEEN(1,8))</f>
        <v>Home Jersey</v>
      </c>
      <c r="D972" t="str">
        <f ca="1">_xlfn.XLOOKUP(C972,Products!A:A,Products!B:B)</f>
        <v>Jerseys</v>
      </c>
      <c r="E972" t="str" cm="1">
        <f t="array" aca="1" ref="E972" ca="1">INDEX(Regions!$A$2:$A$7,RANDBETWEEN(1,6))</f>
        <v>Limerick</v>
      </c>
      <c r="F972">
        <f t="shared" ca="1" si="62"/>
        <v>1</v>
      </c>
      <c r="G972">
        <f ca="1">VLOOKUP(C972,Products!$A$2:$C$9,3,FALSE)</f>
        <v>80</v>
      </c>
      <c r="H972">
        <f t="shared" ca="1" si="63"/>
        <v>80</v>
      </c>
    </row>
    <row r="973" spans="1:8" x14ac:dyDescent="0.35">
      <c r="A973">
        <f t="shared" si="60"/>
        <v>1972</v>
      </c>
      <c r="B973" s="2">
        <f t="shared" ca="1" si="61"/>
        <v>45400</v>
      </c>
      <c r="C973" t="str" cm="1">
        <f t="array" aca="1" ref="C973" ca="1">INDEX(Products!$A$2:$A$9,RANDBETWEEN(1,8))</f>
        <v>Scarf</v>
      </c>
      <c r="D973" t="str">
        <f ca="1">_xlfn.XLOOKUP(C973,Products!A:A,Products!B:B)</f>
        <v>Accessories</v>
      </c>
      <c r="E973" t="str" cm="1">
        <f t="array" aca="1" ref="E973" ca="1">INDEX(Regions!$A$2:$A$7,RANDBETWEEN(1,6))</f>
        <v>Galway</v>
      </c>
      <c r="F973">
        <f t="shared" ca="1" si="62"/>
        <v>1</v>
      </c>
      <c r="G973">
        <f ca="1">VLOOKUP(C973,Products!$A$2:$C$9,3,FALSE)</f>
        <v>20</v>
      </c>
      <c r="H973">
        <f t="shared" ca="1" si="63"/>
        <v>20</v>
      </c>
    </row>
    <row r="974" spans="1:8" x14ac:dyDescent="0.35">
      <c r="A974">
        <f t="shared" si="60"/>
        <v>1973</v>
      </c>
      <c r="B974" s="2">
        <f t="shared" ca="1" si="61"/>
        <v>45736</v>
      </c>
      <c r="C974" t="str" cm="1">
        <f t="array" aca="1" ref="C974" ca="1">INDEX(Products!$A$2:$A$9,RANDBETWEEN(1,8))</f>
        <v>Scarf</v>
      </c>
      <c r="D974" t="str">
        <f ca="1">_xlfn.XLOOKUP(C974,Products!A:A,Products!B:B)</f>
        <v>Accessories</v>
      </c>
      <c r="E974" t="str" cm="1">
        <f t="array" aca="1" ref="E974" ca="1">INDEX(Regions!$A$2:$A$7,RANDBETWEEN(1,6))</f>
        <v>Galway</v>
      </c>
      <c r="F974">
        <f t="shared" ca="1" si="62"/>
        <v>2</v>
      </c>
      <c r="G974">
        <f ca="1">VLOOKUP(C974,Products!$A$2:$C$9,3,FALSE)</f>
        <v>20</v>
      </c>
      <c r="H974">
        <f t="shared" ca="1" si="63"/>
        <v>40</v>
      </c>
    </row>
    <row r="975" spans="1:8" x14ac:dyDescent="0.35">
      <c r="A975">
        <f t="shared" si="60"/>
        <v>1974</v>
      </c>
      <c r="B975" s="2">
        <f t="shared" ca="1" si="61"/>
        <v>45653</v>
      </c>
      <c r="C975" t="str" cm="1">
        <f t="array" aca="1" ref="C975" ca="1">INDEX(Products!$A$2:$A$9,RANDBETWEEN(1,8))</f>
        <v>Jacket</v>
      </c>
      <c r="D975" t="str">
        <f ca="1">_xlfn.XLOOKUP(C975,Products!A:A,Products!B:B)</f>
        <v>Training Wear</v>
      </c>
      <c r="E975" t="str" cm="1">
        <f t="array" aca="1" ref="E975" ca="1">INDEX(Regions!$A$2:$A$7,RANDBETWEEN(1,6))</f>
        <v>Cork</v>
      </c>
      <c r="F975">
        <f t="shared" ca="1" si="62"/>
        <v>3</v>
      </c>
      <c r="G975">
        <f ca="1">VLOOKUP(C975,Products!$A$2:$C$9,3,FALSE)</f>
        <v>90</v>
      </c>
      <c r="H975">
        <f t="shared" ca="1" si="63"/>
        <v>270</v>
      </c>
    </row>
    <row r="976" spans="1:8" x14ac:dyDescent="0.35">
      <c r="A976">
        <f t="shared" si="60"/>
        <v>1975</v>
      </c>
      <c r="B976" s="2">
        <f t="shared" ca="1" si="61"/>
        <v>45480</v>
      </c>
      <c r="C976" t="str" cm="1">
        <f t="array" aca="1" ref="C976" ca="1">INDEX(Products!$A$2:$A$9,RANDBETWEEN(1,8))</f>
        <v>Football</v>
      </c>
      <c r="D976" t="str">
        <f ca="1">_xlfn.XLOOKUP(C976,Products!A:A,Products!B:B)</f>
        <v>Equipment</v>
      </c>
      <c r="E976" t="str" cm="1">
        <f t="array" aca="1" ref="E976" ca="1">INDEX(Regions!$A$2:$A$7,RANDBETWEEN(1,6))</f>
        <v>Limerick</v>
      </c>
      <c r="F976">
        <f t="shared" ca="1" si="62"/>
        <v>2</v>
      </c>
      <c r="G976">
        <f ca="1">VLOOKUP(C976,Products!$A$2:$C$9,3,FALSE)</f>
        <v>30</v>
      </c>
      <c r="H976">
        <f t="shared" ca="1" si="63"/>
        <v>60</v>
      </c>
    </row>
    <row r="977" spans="1:8" x14ac:dyDescent="0.35">
      <c r="A977">
        <f t="shared" si="60"/>
        <v>1976</v>
      </c>
      <c r="B977" s="2">
        <f t="shared" ca="1" si="61"/>
        <v>45494</v>
      </c>
      <c r="C977" t="str" cm="1">
        <f t="array" aca="1" ref="C977" ca="1">INDEX(Products!$A$2:$A$9,RANDBETWEEN(1,8))</f>
        <v>Football</v>
      </c>
      <c r="D977" t="str">
        <f ca="1">_xlfn.XLOOKUP(C977,Products!A:A,Products!B:B)</f>
        <v>Equipment</v>
      </c>
      <c r="E977" t="str" cm="1">
        <f t="array" aca="1" ref="E977" ca="1">INDEX(Regions!$A$2:$A$7,RANDBETWEEN(1,6))</f>
        <v>Waterford</v>
      </c>
      <c r="F977">
        <f t="shared" ca="1" si="62"/>
        <v>5</v>
      </c>
      <c r="G977">
        <f ca="1">VLOOKUP(C977,Products!$A$2:$C$9,3,FALSE)</f>
        <v>30</v>
      </c>
      <c r="H977">
        <f t="shared" ca="1" si="63"/>
        <v>150</v>
      </c>
    </row>
    <row r="978" spans="1:8" x14ac:dyDescent="0.35">
      <c r="A978">
        <f t="shared" si="60"/>
        <v>1977</v>
      </c>
      <c r="B978" s="2">
        <f t="shared" ca="1" si="61"/>
        <v>45668</v>
      </c>
      <c r="C978" t="str" cm="1">
        <f t="array" aca="1" ref="C978" ca="1">INDEX(Products!$A$2:$A$9,RANDBETWEEN(1,8))</f>
        <v>Third Jersey</v>
      </c>
      <c r="D978" t="str">
        <f ca="1">_xlfn.XLOOKUP(C978,Products!A:A,Products!B:B)</f>
        <v>Jerseys</v>
      </c>
      <c r="E978" t="str" cm="1">
        <f t="array" aca="1" ref="E978" ca="1">INDEX(Regions!$A$2:$A$7,RANDBETWEEN(1,6))</f>
        <v>Waterford</v>
      </c>
      <c r="F978">
        <f t="shared" ca="1" si="62"/>
        <v>1</v>
      </c>
      <c r="G978">
        <f ca="1">VLOOKUP(C978,Products!$A$2:$C$9,3,FALSE)</f>
        <v>85</v>
      </c>
      <c r="H978">
        <f t="shared" ca="1" si="63"/>
        <v>85</v>
      </c>
    </row>
    <row r="979" spans="1:8" x14ac:dyDescent="0.35">
      <c r="A979">
        <f t="shared" si="60"/>
        <v>1978</v>
      </c>
      <c r="B979" s="2">
        <f t="shared" ca="1" si="61"/>
        <v>45565</v>
      </c>
      <c r="C979" t="str" cm="1">
        <f t="array" aca="1" ref="C979" ca="1">INDEX(Products!$A$2:$A$9,RANDBETWEEN(1,8))</f>
        <v>Hat</v>
      </c>
      <c r="D979" t="str">
        <f ca="1">_xlfn.XLOOKUP(C979,Products!A:A,Products!B:B)</f>
        <v>Accessories</v>
      </c>
      <c r="E979" t="str" cm="1">
        <f t="array" aca="1" ref="E979" ca="1">INDEX(Regions!$A$2:$A$7,RANDBETWEEN(1,6))</f>
        <v>Waterford</v>
      </c>
      <c r="F979">
        <f t="shared" ca="1" si="62"/>
        <v>5</v>
      </c>
      <c r="G979">
        <f ca="1">VLOOKUP(C979,Products!$A$2:$C$9,3,FALSE)</f>
        <v>25</v>
      </c>
      <c r="H979">
        <f t="shared" ca="1" si="63"/>
        <v>125</v>
      </c>
    </row>
    <row r="980" spans="1:8" x14ac:dyDescent="0.35">
      <c r="A980">
        <f t="shared" si="60"/>
        <v>1979</v>
      </c>
      <c r="B980" s="2">
        <f t="shared" ca="1" si="61"/>
        <v>45374</v>
      </c>
      <c r="C980" t="str" cm="1">
        <f t="array" aca="1" ref="C980" ca="1">INDEX(Products!$A$2:$A$9,RANDBETWEEN(1,8))</f>
        <v>Football</v>
      </c>
      <c r="D980" t="str">
        <f ca="1">_xlfn.XLOOKUP(C980,Products!A:A,Products!B:B)</f>
        <v>Equipment</v>
      </c>
      <c r="E980" t="str" cm="1">
        <f t="array" aca="1" ref="E980" ca="1">INDEX(Regions!$A$2:$A$7,RANDBETWEEN(1,6))</f>
        <v>Limerick</v>
      </c>
      <c r="F980">
        <f t="shared" ca="1" si="62"/>
        <v>1</v>
      </c>
      <c r="G980">
        <f ca="1">VLOOKUP(C980,Products!$A$2:$C$9,3,FALSE)</f>
        <v>30</v>
      </c>
      <c r="H980">
        <f t="shared" ca="1" si="63"/>
        <v>30</v>
      </c>
    </row>
    <row r="981" spans="1:8" x14ac:dyDescent="0.35">
      <c r="A981">
        <f t="shared" si="60"/>
        <v>1980</v>
      </c>
      <c r="B981" s="2">
        <f t="shared" ca="1" si="61"/>
        <v>45906</v>
      </c>
      <c r="C981" t="str" cm="1">
        <f t="array" aca="1" ref="C981" ca="1">INDEX(Products!$A$2:$A$9,RANDBETWEEN(1,8))</f>
        <v>Football</v>
      </c>
      <c r="D981" t="str">
        <f ca="1">_xlfn.XLOOKUP(C981,Products!A:A,Products!B:B)</f>
        <v>Equipment</v>
      </c>
      <c r="E981" t="str" cm="1">
        <f t="array" aca="1" ref="E981" ca="1">INDEX(Regions!$A$2:$A$7,RANDBETWEEN(1,6))</f>
        <v>Waterford</v>
      </c>
      <c r="F981">
        <f t="shared" ca="1" si="62"/>
        <v>5</v>
      </c>
      <c r="G981">
        <f ca="1">VLOOKUP(C981,Products!$A$2:$C$9,3,FALSE)</f>
        <v>30</v>
      </c>
      <c r="H981">
        <f t="shared" ca="1" si="63"/>
        <v>150</v>
      </c>
    </row>
    <row r="982" spans="1:8" x14ac:dyDescent="0.35">
      <c r="A982">
        <f t="shared" si="60"/>
        <v>1981</v>
      </c>
      <c r="B982" s="2">
        <f t="shared" ca="1" si="61"/>
        <v>45430</v>
      </c>
      <c r="C982" t="str" cm="1">
        <f t="array" aca="1" ref="C982" ca="1">INDEX(Products!$A$2:$A$9,RANDBETWEEN(1,8))</f>
        <v>Hat</v>
      </c>
      <c r="D982" t="str">
        <f ca="1">_xlfn.XLOOKUP(C982,Products!A:A,Products!B:B)</f>
        <v>Accessories</v>
      </c>
      <c r="E982" t="str" cm="1">
        <f t="array" aca="1" ref="E982" ca="1">INDEX(Regions!$A$2:$A$7,RANDBETWEEN(1,6))</f>
        <v>Galway</v>
      </c>
      <c r="F982">
        <f t="shared" ca="1" si="62"/>
        <v>4</v>
      </c>
      <c r="G982">
        <f ca="1">VLOOKUP(C982,Products!$A$2:$C$9,3,FALSE)</f>
        <v>25</v>
      </c>
      <c r="H982">
        <f t="shared" ca="1" si="63"/>
        <v>100</v>
      </c>
    </row>
    <row r="983" spans="1:8" x14ac:dyDescent="0.35">
      <c r="A983">
        <f t="shared" si="60"/>
        <v>1982</v>
      </c>
      <c r="B983" s="2">
        <f t="shared" ca="1" si="61"/>
        <v>45837</v>
      </c>
      <c r="C983" t="str" cm="1">
        <f t="array" aca="1" ref="C983" ca="1">INDEX(Products!$A$2:$A$9,RANDBETWEEN(1,8))</f>
        <v>Away Jersey</v>
      </c>
      <c r="D983" t="str">
        <f ca="1">_xlfn.XLOOKUP(C983,Products!A:A,Products!B:B)</f>
        <v>Jerseys</v>
      </c>
      <c r="E983" t="str" cm="1">
        <f t="array" aca="1" ref="E983" ca="1">INDEX(Regions!$A$2:$A$7,RANDBETWEEN(1,6))</f>
        <v>Belfast</v>
      </c>
      <c r="F983">
        <f t="shared" ca="1" si="62"/>
        <v>5</v>
      </c>
      <c r="G983">
        <f ca="1">VLOOKUP(C983,Products!$A$2:$C$9,3,FALSE)</f>
        <v>80</v>
      </c>
      <c r="H983">
        <f t="shared" ca="1" si="63"/>
        <v>400</v>
      </c>
    </row>
    <row r="984" spans="1:8" x14ac:dyDescent="0.35">
      <c r="A984">
        <f t="shared" si="60"/>
        <v>1983</v>
      </c>
      <c r="B984" s="2">
        <f t="shared" ca="1" si="61"/>
        <v>45841</v>
      </c>
      <c r="C984" t="str" cm="1">
        <f t="array" aca="1" ref="C984" ca="1">INDEX(Products!$A$2:$A$9,RANDBETWEEN(1,8))</f>
        <v>Scarf</v>
      </c>
      <c r="D984" t="str">
        <f ca="1">_xlfn.XLOOKUP(C984,Products!A:A,Products!B:B)</f>
        <v>Accessories</v>
      </c>
      <c r="E984" t="str" cm="1">
        <f t="array" aca="1" ref="E984" ca="1">INDEX(Regions!$A$2:$A$7,RANDBETWEEN(1,6))</f>
        <v>Limerick</v>
      </c>
      <c r="F984">
        <f t="shared" ca="1" si="62"/>
        <v>2</v>
      </c>
      <c r="G984">
        <f ca="1">VLOOKUP(C984,Products!$A$2:$C$9,3,FALSE)</f>
        <v>20</v>
      </c>
      <c r="H984">
        <f t="shared" ca="1" si="63"/>
        <v>40</v>
      </c>
    </row>
    <row r="985" spans="1:8" x14ac:dyDescent="0.35">
      <c r="A985">
        <f t="shared" si="60"/>
        <v>1984</v>
      </c>
      <c r="B985" s="2">
        <f t="shared" ca="1" si="61"/>
        <v>45854</v>
      </c>
      <c r="C985" t="str" cm="1">
        <f t="array" aca="1" ref="C985" ca="1">INDEX(Products!$A$2:$A$9,RANDBETWEEN(1,8))</f>
        <v>Scarf</v>
      </c>
      <c r="D985" t="str">
        <f ca="1">_xlfn.XLOOKUP(C985,Products!A:A,Products!B:B)</f>
        <v>Accessories</v>
      </c>
      <c r="E985" t="str" cm="1">
        <f t="array" aca="1" ref="E985" ca="1">INDEX(Regions!$A$2:$A$7,RANDBETWEEN(1,6))</f>
        <v>Limerick</v>
      </c>
      <c r="F985">
        <f t="shared" ca="1" si="62"/>
        <v>1</v>
      </c>
      <c r="G985">
        <f ca="1">VLOOKUP(C985,Products!$A$2:$C$9,3,FALSE)</f>
        <v>20</v>
      </c>
      <c r="H985">
        <f t="shared" ca="1" si="63"/>
        <v>20</v>
      </c>
    </row>
    <row r="986" spans="1:8" x14ac:dyDescent="0.35">
      <c r="A986">
        <f t="shared" si="60"/>
        <v>1985</v>
      </c>
      <c r="B986" s="2">
        <f t="shared" ca="1" si="61"/>
        <v>45828</v>
      </c>
      <c r="C986" t="str" cm="1">
        <f t="array" aca="1" ref="C986" ca="1">INDEX(Products!$A$2:$A$9,RANDBETWEEN(1,8))</f>
        <v>Hat</v>
      </c>
      <c r="D986" t="str">
        <f ca="1">_xlfn.XLOOKUP(C986,Products!A:A,Products!B:B)</f>
        <v>Accessories</v>
      </c>
      <c r="E986" t="str" cm="1">
        <f t="array" aca="1" ref="E986" ca="1">INDEX(Regions!$A$2:$A$7,RANDBETWEEN(1,6))</f>
        <v>Waterford</v>
      </c>
      <c r="F986">
        <f t="shared" ca="1" si="62"/>
        <v>5</v>
      </c>
      <c r="G986">
        <f ca="1">VLOOKUP(C986,Products!$A$2:$C$9,3,FALSE)</f>
        <v>25</v>
      </c>
      <c r="H986">
        <f t="shared" ca="1" si="63"/>
        <v>125</v>
      </c>
    </row>
    <row r="987" spans="1:8" x14ac:dyDescent="0.35">
      <c r="A987">
        <f t="shared" si="60"/>
        <v>1986</v>
      </c>
      <c r="B987" s="2">
        <f t="shared" ca="1" si="61"/>
        <v>45371</v>
      </c>
      <c r="C987" t="str" cm="1">
        <f t="array" aca="1" ref="C987" ca="1">INDEX(Products!$A$2:$A$9,RANDBETWEEN(1,8))</f>
        <v>Hat</v>
      </c>
      <c r="D987" t="str">
        <f ca="1">_xlfn.XLOOKUP(C987,Products!A:A,Products!B:B)</f>
        <v>Accessories</v>
      </c>
      <c r="E987" t="str" cm="1">
        <f t="array" aca="1" ref="E987" ca="1">INDEX(Regions!$A$2:$A$7,RANDBETWEEN(1,6))</f>
        <v>Limerick</v>
      </c>
      <c r="F987">
        <f t="shared" ca="1" si="62"/>
        <v>2</v>
      </c>
      <c r="G987">
        <f ca="1">VLOOKUP(C987,Products!$A$2:$C$9,3,FALSE)</f>
        <v>25</v>
      </c>
      <c r="H987">
        <f t="shared" ca="1" si="63"/>
        <v>50</v>
      </c>
    </row>
    <row r="988" spans="1:8" x14ac:dyDescent="0.35">
      <c r="A988">
        <f t="shared" si="60"/>
        <v>1987</v>
      </c>
      <c r="B988" s="2">
        <f t="shared" ca="1" si="61"/>
        <v>45855</v>
      </c>
      <c r="C988" t="str" cm="1">
        <f t="array" aca="1" ref="C988" ca="1">INDEX(Products!$A$2:$A$9,RANDBETWEEN(1,8))</f>
        <v>Training Top</v>
      </c>
      <c r="D988" t="str">
        <f ca="1">_xlfn.XLOOKUP(C988,Products!A:A,Products!B:B)</f>
        <v>Training Wear</v>
      </c>
      <c r="E988" t="str" cm="1">
        <f t="array" aca="1" ref="E988" ca="1">INDEX(Regions!$A$2:$A$7,RANDBETWEEN(1,6))</f>
        <v>Cork</v>
      </c>
      <c r="F988">
        <f t="shared" ca="1" si="62"/>
        <v>5</v>
      </c>
      <c r="G988">
        <f ca="1">VLOOKUP(C988,Products!$A$2:$C$9,3,FALSE)</f>
        <v>55</v>
      </c>
      <c r="H988">
        <f t="shared" ca="1" si="63"/>
        <v>275</v>
      </c>
    </row>
    <row r="989" spans="1:8" x14ac:dyDescent="0.35">
      <c r="A989">
        <f t="shared" si="60"/>
        <v>1988</v>
      </c>
      <c r="B989" s="2">
        <f t="shared" ca="1" si="61"/>
        <v>45673</v>
      </c>
      <c r="C989" t="str" cm="1">
        <f t="array" aca="1" ref="C989" ca="1">INDEX(Products!$A$2:$A$9,RANDBETWEEN(1,8))</f>
        <v>Scarf</v>
      </c>
      <c r="D989" t="str">
        <f ca="1">_xlfn.XLOOKUP(C989,Products!A:A,Products!B:B)</f>
        <v>Accessories</v>
      </c>
      <c r="E989" t="str" cm="1">
        <f t="array" aca="1" ref="E989" ca="1">INDEX(Regions!$A$2:$A$7,RANDBETWEEN(1,6))</f>
        <v>Cork</v>
      </c>
      <c r="F989">
        <f t="shared" ca="1" si="62"/>
        <v>5</v>
      </c>
      <c r="G989">
        <f ca="1">VLOOKUP(C989,Products!$A$2:$C$9,3,FALSE)</f>
        <v>20</v>
      </c>
      <c r="H989">
        <f t="shared" ca="1" si="63"/>
        <v>100</v>
      </c>
    </row>
    <row r="990" spans="1:8" x14ac:dyDescent="0.35">
      <c r="A990">
        <f t="shared" si="60"/>
        <v>1989</v>
      </c>
      <c r="B990" s="2">
        <f t="shared" ca="1" si="61"/>
        <v>45963</v>
      </c>
      <c r="C990" t="str" cm="1">
        <f t="array" aca="1" ref="C990" ca="1">INDEX(Products!$A$2:$A$9,RANDBETWEEN(1,8))</f>
        <v>Jacket</v>
      </c>
      <c r="D990" t="str">
        <f ca="1">_xlfn.XLOOKUP(C990,Products!A:A,Products!B:B)</f>
        <v>Training Wear</v>
      </c>
      <c r="E990" t="str" cm="1">
        <f t="array" aca="1" ref="E990" ca="1">INDEX(Regions!$A$2:$A$7,RANDBETWEEN(1,6))</f>
        <v>Waterford</v>
      </c>
      <c r="F990">
        <f t="shared" ca="1" si="62"/>
        <v>3</v>
      </c>
      <c r="G990">
        <f ca="1">VLOOKUP(C990,Products!$A$2:$C$9,3,FALSE)</f>
        <v>90</v>
      </c>
      <c r="H990">
        <f t="shared" ca="1" si="63"/>
        <v>270</v>
      </c>
    </row>
    <row r="991" spans="1:8" x14ac:dyDescent="0.35">
      <c r="A991">
        <f t="shared" si="60"/>
        <v>1990</v>
      </c>
      <c r="B991" s="2">
        <f t="shared" ca="1" si="61"/>
        <v>45756</v>
      </c>
      <c r="C991" t="str" cm="1">
        <f t="array" aca="1" ref="C991" ca="1">INDEX(Products!$A$2:$A$9,RANDBETWEEN(1,8))</f>
        <v>Jacket</v>
      </c>
      <c r="D991" t="str">
        <f ca="1">_xlfn.XLOOKUP(C991,Products!A:A,Products!B:B)</f>
        <v>Training Wear</v>
      </c>
      <c r="E991" t="str" cm="1">
        <f t="array" aca="1" ref="E991" ca="1">INDEX(Regions!$A$2:$A$7,RANDBETWEEN(1,6))</f>
        <v>Galway</v>
      </c>
      <c r="F991">
        <f t="shared" ca="1" si="62"/>
        <v>3</v>
      </c>
      <c r="G991">
        <f ca="1">VLOOKUP(C991,Products!$A$2:$C$9,3,FALSE)</f>
        <v>90</v>
      </c>
      <c r="H991">
        <f t="shared" ca="1" si="63"/>
        <v>270</v>
      </c>
    </row>
    <row r="992" spans="1:8" x14ac:dyDescent="0.35">
      <c r="A992">
        <f t="shared" si="60"/>
        <v>1991</v>
      </c>
      <c r="B992" s="2">
        <f t="shared" ca="1" si="61"/>
        <v>45375</v>
      </c>
      <c r="C992" t="str" cm="1">
        <f t="array" aca="1" ref="C992" ca="1">INDEX(Products!$A$2:$A$9,RANDBETWEEN(1,8))</f>
        <v>Jacket</v>
      </c>
      <c r="D992" t="str">
        <f ca="1">_xlfn.XLOOKUP(C992,Products!A:A,Products!B:B)</f>
        <v>Training Wear</v>
      </c>
      <c r="E992" t="str" cm="1">
        <f t="array" aca="1" ref="E992" ca="1">INDEX(Regions!$A$2:$A$7,RANDBETWEEN(1,6))</f>
        <v>Cork</v>
      </c>
      <c r="F992">
        <f t="shared" ca="1" si="62"/>
        <v>1</v>
      </c>
      <c r="G992">
        <f ca="1">VLOOKUP(C992,Products!$A$2:$C$9,3,FALSE)</f>
        <v>90</v>
      </c>
      <c r="H992">
        <f t="shared" ca="1" si="63"/>
        <v>90</v>
      </c>
    </row>
    <row r="993" spans="1:8" x14ac:dyDescent="0.35">
      <c r="A993">
        <f t="shared" si="60"/>
        <v>1992</v>
      </c>
      <c r="B993" s="2">
        <f t="shared" ca="1" si="61"/>
        <v>45934</v>
      </c>
      <c r="C993" t="str" cm="1">
        <f t="array" aca="1" ref="C993" ca="1">INDEX(Products!$A$2:$A$9,RANDBETWEEN(1,8))</f>
        <v>Training Top</v>
      </c>
      <c r="D993" t="str">
        <f ca="1">_xlfn.XLOOKUP(C993,Products!A:A,Products!B:B)</f>
        <v>Training Wear</v>
      </c>
      <c r="E993" t="str" cm="1">
        <f t="array" aca="1" ref="E993" ca="1">INDEX(Regions!$A$2:$A$7,RANDBETWEEN(1,6))</f>
        <v>Belfast</v>
      </c>
      <c r="F993">
        <f t="shared" ca="1" si="62"/>
        <v>5</v>
      </c>
      <c r="G993">
        <f ca="1">VLOOKUP(C993,Products!$A$2:$C$9,3,FALSE)</f>
        <v>55</v>
      </c>
      <c r="H993">
        <f t="shared" ca="1" si="63"/>
        <v>275</v>
      </c>
    </row>
    <row r="994" spans="1:8" x14ac:dyDescent="0.35">
      <c r="A994">
        <f t="shared" si="60"/>
        <v>1993</v>
      </c>
      <c r="B994" s="2">
        <f t="shared" ca="1" si="61"/>
        <v>45943</v>
      </c>
      <c r="C994" t="str" cm="1">
        <f t="array" aca="1" ref="C994" ca="1">INDEX(Products!$A$2:$A$9,RANDBETWEEN(1,8))</f>
        <v>Hat</v>
      </c>
      <c r="D994" t="str">
        <f ca="1">_xlfn.XLOOKUP(C994,Products!A:A,Products!B:B)</f>
        <v>Accessories</v>
      </c>
      <c r="E994" t="str" cm="1">
        <f t="array" aca="1" ref="E994" ca="1">INDEX(Regions!$A$2:$A$7,RANDBETWEEN(1,6))</f>
        <v>Galway</v>
      </c>
      <c r="F994">
        <f t="shared" ca="1" si="62"/>
        <v>3</v>
      </c>
      <c r="G994">
        <f ca="1">VLOOKUP(C994,Products!$A$2:$C$9,3,FALSE)</f>
        <v>25</v>
      </c>
      <c r="H994">
        <f t="shared" ca="1" si="63"/>
        <v>75</v>
      </c>
    </row>
    <row r="995" spans="1:8" x14ac:dyDescent="0.35">
      <c r="A995">
        <f t="shared" si="60"/>
        <v>1994</v>
      </c>
      <c r="B995" s="2">
        <f t="shared" ca="1" si="61"/>
        <v>45713</v>
      </c>
      <c r="C995" t="str" cm="1">
        <f t="array" aca="1" ref="C995" ca="1">INDEX(Products!$A$2:$A$9,RANDBETWEEN(1,8))</f>
        <v>Jacket</v>
      </c>
      <c r="D995" t="str">
        <f ca="1">_xlfn.XLOOKUP(C995,Products!A:A,Products!B:B)</f>
        <v>Training Wear</v>
      </c>
      <c r="E995" t="str" cm="1">
        <f t="array" aca="1" ref="E995" ca="1">INDEX(Regions!$A$2:$A$7,RANDBETWEEN(1,6))</f>
        <v>Limerick</v>
      </c>
      <c r="F995">
        <f t="shared" ca="1" si="62"/>
        <v>3</v>
      </c>
      <c r="G995">
        <f ca="1">VLOOKUP(C995,Products!$A$2:$C$9,3,FALSE)</f>
        <v>90</v>
      </c>
      <c r="H995">
        <f t="shared" ca="1" si="63"/>
        <v>270</v>
      </c>
    </row>
    <row r="996" spans="1:8" x14ac:dyDescent="0.35">
      <c r="A996">
        <f t="shared" si="60"/>
        <v>1995</v>
      </c>
      <c r="B996" s="2">
        <f t="shared" ca="1" si="61"/>
        <v>45785</v>
      </c>
      <c r="C996" t="str" cm="1">
        <f t="array" aca="1" ref="C996" ca="1">INDEX(Products!$A$2:$A$9,RANDBETWEEN(1,8))</f>
        <v>Away Jersey</v>
      </c>
      <c r="D996" t="str">
        <f ca="1">_xlfn.XLOOKUP(C996,Products!A:A,Products!B:B)</f>
        <v>Jerseys</v>
      </c>
      <c r="E996" t="str" cm="1">
        <f t="array" aca="1" ref="E996" ca="1">INDEX(Regions!$A$2:$A$7,RANDBETWEEN(1,6))</f>
        <v>Waterford</v>
      </c>
      <c r="F996">
        <f t="shared" ca="1" si="62"/>
        <v>1</v>
      </c>
      <c r="G996">
        <f ca="1">VLOOKUP(C996,Products!$A$2:$C$9,3,FALSE)</f>
        <v>80</v>
      </c>
      <c r="H996">
        <f t="shared" ca="1" si="63"/>
        <v>80</v>
      </c>
    </row>
    <row r="997" spans="1:8" x14ac:dyDescent="0.35">
      <c r="A997">
        <f t="shared" si="60"/>
        <v>1996</v>
      </c>
      <c r="B997" s="2">
        <f t="shared" ca="1" si="61"/>
        <v>45843</v>
      </c>
      <c r="C997" t="str" cm="1">
        <f t="array" aca="1" ref="C997" ca="1">INDEX(Products!$A$2:$A$9,RANDBETWEEN(1,8))</f>
        <v>Home Jersey</v>
      </c>
      <c r="D997" t="str">
        <f ca="1">_xlfn.XLOOKUP(C997,Products!A:A,Products!B:B)</f>
        <v>Jerseys</v>
      </c>
      <c r="E997" t="str" cm="1">
        <f t="array" aca="1" ref="E997" ca="1">INDEX(Regions!$A$2:$A$7,RANDBETWEEN(1,6))</f>
        <v>Cork</v>
      </c>
      <c r="F997">
        <f t="shared" ca="1" si="62"/>
        <v>1</v>
      </c>
      <c r="G997">
        <f ca="1">VLOOKUP(C997,Products!$A$2:$C$9,3,FALSE)</f>
        <v>80</v>
      </c>
      <c r="H997">
        <f t="shared" ca="1" si="63"/>
        <v>80</v>
      </c>
    </row>
    <row r="998" spans="1:8" x14ac:dyDescent="0.35">
      <c r="A998">
        <f t="shared" si="60"/>
        <v>1997</v>
      </c>
      <c r="B998" s="2">
        <f t="shared" ca="1" si="61"/>
        <v>45771</v>
      </c>
      <c r="C998" t="str" cm="1">
        <f t="array" aca="1" ref="C998" ca="1">INDEX(Products!$A$2:$A$9,RANDBETWEEN(1,8))</f>
        <v>Jacket</v>
      </c>
      <c r="D998" t="str">
        <f ca="1">_xlfn.XLOOKUP(C998,Products!A:A,Products!B:B)</f>
        <v>Training Wear</v>
      </c>
      <c r="E998" t="str" cm="1">
        <f t="array" aca="1" ref="E998" ca="1">INDEX(Regions!$A$2:$A$7,RANDBETWEEN(1,6))</f>
        <v>Belfast</v>
      </c>
      <c r="F998">
        <f t="shared" ca="1" si="62"/>
        <v>4</v>
      </c>
      <c r="G998">
        <f ca="1">VLOOKUP(C998,Products!$A$2:$C$9,3,FALSE)</f>
        <v>90</v>
      </c>
      <c r="H998">
        <f t="shared" ca="1" si="63"/>
        <v>360</v>
      </c>
    </row>
    <row r="999" spans="1:8" x14ac:dyDescent="0.35">
      <c r="A999">
        <f t="shared" si="60"/>
        <v>1998</v>
      </c>
      <c r="B999" s="2">
        <f t="shared" ca="1" si="61"/>
        <v>45327</v>
      </c>
      <c r="C999" t="str" cm="1">
        <f t="array" aca="1" ref="C999" ca="1">INDEX(Products!$A$2:$A$9,RANDBETWEEN(1,8))</f>
        <v>Jacket</v>
      </c>
      <c r="D999" t="str">
        <f ca="1">_xlfn.XLOOKUP(C999,Products!A:A,Products!B:B)</f>
        <v>Training Wear</v>
      </c>
      <c r="E999" t="str" cm="1">
        <f t="array" aca="1" ref="E999" ca="1">INDEX(Regions!$A$2:$A$7,RANDBETWEEN(1,6))</f>
        <v>Galway</v>
      </c>
      <c r="F999">
        <f t="shared" ca="1" si="62"/>
        <v>4</v>
      </c>
      <c r="G999">
        <f ca="1">VLOOKUP(C999,Products!$A$2:$C$9,3,FALSE)</f>
        <v>90</v>
      </c>
      <c r="H999">
        <f t="shared" ca="1" si="63"/>
        <v>360</v>
      </c>
    </row>
    <row r="1000" spans="1:8" x14ac:dyDescent="0.35">
      <c r="A1000">
        <f t="shared" si="60"/>
        <v>1999</v>
      </c>
      <c r="B1000" s="2">
        <f t="shared" ca="1" si="61"/>
        <v>45715</v>
      </c>
      <c r="C1000" t="str" cm="1">
        <f t="array" aca="1" ref="C1000" ca="1">INDEX(Products!$A$2:$A$9,RANDBETWEEN(1,8))</f>
        <v>Away Jersey</v>
      </c>
      <c r="D1000" t="str">
        <f ca="1">_xlfn.XLOOKUP(C1000,Products!A:A,Products!B:B)</f>
        <v>Jerseys</v>
      </c>
      <c r="E1000" t="str" cm="1">
        <f t="array" aca="1" ref="E1000" ca="1">INDEX(Regions!$A$2:$A$7,RANDBETWEEN(1,6))</f>
        <v>Cork</v>
      </c>
      <c r="F1000">
        <f t="shared" ca="1" si="62"/>
        <v>3</v>
      </c>
      <c r="G1000">
        <f ca="1">VLOOKUP(C1000,Products!$A$2:$C$9,3,FALSE)</f>
        <v>80</v>
      </c>
      <c r="H1000">
        <f t="shared" ca="1" si="63"/>
        <v>240</v>
      </c>
    </row>
    <row r="1001" spans="1:8" x14ac:dyDescent="0.35">
      <c r="A1001">
        <f t="shared" si="60"/>
        <v>2000</v>
      </c>
      <c r="B1001" s="2">
        <f t="shared" ca="1" si="61"/>
        <v>45827</v>
      </c>
      <c r="C1001" t="str" cm="1">
        <f t="array" aca="1" ref="C1001" ca="1">INDEX(Products!$A$2:$A$9,RANDBETWEEN(1,8))</f>
        <v>Third Jersey</v>
      </c>
      <c r="D1001" t="str">
        <f ca="1">_xlfn.XLOOKUP(C1001,Products!A:A,Products!B:B)</f>
        <v>Jerseys</v>
      </c>
      <c r="E1001" t="str" cm="1">
        <f t="array" aca="1" ref="E1001" ca="1">INDEX(Regions!$A$2:$A$7,RANDBETWEEN(1,6))</f>
        <v>Limerick</v>
      </c>
      <c r="F1001">
        <f t="shared" ca="1" si="62"/>
        <v>1</v>
      </c>
      <c r="G1001">
        <f ca="1">VLOOKUP(C1001,Products!$A$2:$C$9,3,FALSE)</f>
        <v>85</v>
      </c>
      <c r="H1001">
        <f t="shared" ref="H1001" ca="1" si="64">F1001*G1001</f>
        <v>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3CF3C-0875-4248-B3E8-ACBEDD9B81AA}">
  <dimension ref="A1:C9"/>
  <sheetViews>
    <sheetView workbookViewId="0">
      <selection activeCell="E11" sqref="E11"/>
    </sheetView>
  </sheetViews>
  <sheetFormatPr baseColWidth="10" defaultRowHeight="27" x14ac:dyDescent="0.35"/>
  <sheetData>
    <row r="1" spans="1:3" s="1" customFormat="1" x14ac:dyDescent="0.35">
      <c r="A1" s="1" t="s">
        <v>2</v>
      </c>
      <c r="B1" s="1" t="s">
        <v>3</v>
      </c>
      <c r="C1" s="1" t="s">
        <v>16</v>
      </c>
    </row>
    <row r="2" spans="1:3" x14ac:dyDescent="0.35">
      <c r="A2" t="s">
        <v>8</v>
      </c>
      <c r="B2" t="s">
        <v>17</v>
      </c>
      <c r="C2">
        <v>80</v>
      </c>
    </row>
    <row r="3" spans="1:3" x14ac:dyDescent="0.35">
      <c r="A3" t="s">
        <v>9</v>
      </c>
      <c r="B3" t="s">
        <v>17</v>
      </c>
      <c r="C3">
        <v>80</v>
      </c>
    </row>
    <row r="4" spans="1:3" x14ac:dyDescent="0.35">
      <c r="A4" t="s">
        <v>10</v>
      </c>
      <c r="B4" t="s">
        <v>17</v>
      </c>
      <c r="C4">
        <v>85</v>
      </c>
    </row>
    <row r="5" spans="1:3" x14ac:dyDescent="0.35">
      <c r="A5" t="s">
        <v>11</v>
      </c>
      <c r="B5" t="s">
        <v>18</v>
      </c>
      <c r="C5">
        <v>20</v>
      </c>
    </row>
    <row r="6" spans="1:3" x14ac:dyDescent="0.35">
      <c r="A6" t="s">
        <v>12</v>
      </c>
      <c r="B6" t="s">
        <v>18</v>
      </c>
      <c r="C6">
        <v>25</v>
      </c>
    </row>
    <row r="7" spans="1:3" x14ac:dyDescent="0.35">
      <c r="A7" t="s">
        <v>13</v>
      </c>
      <c r="B7" t="s">
        <v>19</v>
      </c>
      <c r="C7">
        <v>30</v>
      </c>
    </row>
    <row r="8" spans="1:3" x14ac:dyDescent="0.35">
      <c r="A8" t="s">
        <v>14</v>
      </c>
      <c r="B8" t="s">
        <v>20</v>
      </c>
      <c r="C8">
        <v>55</v>
      </c>
    </row>
    <row r="9" spans="1:3" x14ac:dyDescent="0.35">
      <c r="A9" t="s">
        <v>15</v>
      </c>
      <c r="B9" t="s">
        <v>20</v>
      </c>
      <c r="C9">
        <v>90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02D25-B7D6-7D4F-97F3-83ACCF0CAA83}">
  <dimension ref="A1:A7"/>
  <sheetViews>
    <sheetView workbookViewId="0">
      <selection activeCell="B11" sqref="B11"/>
    </sheetView>
  </sheetViews>
  <sheetFormatPr baseColWidth="10" defaultRowHeight="27" x14ac:dyDescent="0.35"/>
  <sheetData>
    <row r="1" spans="1:1" x14ac:dyDescent="0.35">
      <c r="A1" s="1" t="s">
        <v>21</v>
      </c>
    </row>
    <row r="2" spans="1:1" x14ac:dyDescent="0.35">
      <c r="A2" t="s">
        <v>22</v>
      </c>
    </row>
    <row r="3" spans="1:1" x14ac:dyDescent="0.35">
      <c r="A3" t="s">
        <v>23</v>
      </c>
    </row>
    <row r="4" spans="1:1" x14ac:dyDescent="0.35">
      <c r="A4" t="s">
        <v>24</v>
      </c>
    </row>
    <row r="5" spans="1:1" x14ac:dyDescent="0.35">
      <c r="A5" t="s">
        <v>25</v>
      </c>
    </row>
    <row r="6" spans="1:1" x14ac:dyDescent="0.35">
      <c r="A6" t="s">
        <v>26</v>
      </c>
    </row>
    <row r="7" spans="1:1" x14ac:dyDescent="0.35">
      <c r="A7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</vt:lpstr>
      <vt:lpstr>Products</vt:lpstr>
      <vt:lpstr>Regions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B00153847 Lawrence Adeolokun</dc:creator>
  <cp:lastModifiedBy>B00153847 Lawrence Adeolokun</cp:lastModifiedBy>
  <dcterms:created xsi:type="dcterms:W3CDTF">2026-05-31T21:50:53Z</dcterms:created>
  <dcterms:modified xsi:type="dcterms:W3CDTF">2026-06-01T10:02:59Z</dcterms:modified>
</cp:coreProperties>
</file>